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defaultThemeVersion="124226"/>
  <mc:AlternateContent xmlns:mc="http://schemas.openxmlformats.org/markup-compatibility/2006">
    <mc:Choice Requires="x15">
      <x15ac:absPath xmlns:x15ac="http://schemas.microsoft.com/office/spreadsheetml/2010/11/ac" url="C:\SharedDrive\Dropbox\ICARUS\Flyer\v6\Software\Documentation\"/>
    </mc:Choice>
  </mc:AlternateContent>
  <bookViews>
    <workbookView xWindow="360" yWindow="45" windowWidth="18195" windowHeight="2640"/>
  </bookViews>
  <sheets>
    <sheet name="Com Messages" sheetId="7" r:id="rId1"/>
    <sheet name="Status" sheetId="5" r:id="rId2"/>
    <sheet name="Data" sheetId="4" r:id="rId3"/>
    <sheet name="ICARUS Protocol_bad" sheetId="6" r:id="rId4"/>
    <sheet name="MAVLink Type Enumerations_bad" sheetId="1" r:id="rId5"/>
    <sheet name="MAVLink Messages_bad" sheetId="3" r:id="rId6"/>
  </sheets>
  <definedNames>
    <definedName name="_xlnm._FilterDatabase" localSheetId="0" hidden="1">'Com Messages'!$A$2:$Z$51</definedName>
    <definedName name="_xlnm._FilterDatabase" localSheetId="2" hidden="1">Data!$A$1:$A$6</definedName>
    <definedName name="_xlnm._FilterDatabase" localSheetId="5" hidden="1">'MAVLink Messages_bad'!$A$2:$L$77</definedName>
    <definedName name="_xlnm._FilterDatabase" localSheetId="4" hidden="1">'MAVLink Type Enumerations_bad'!$A$2:$H$167</definedName>
  </definedNames>
  <calcPr calcId="152511"/>
</workbook>
</file>

<file path=xl/calcChain.xml><?xml version="1.0" encoding="utf-8"?>
<calcChain xmlns="http://schemas.openxmlformats.org/spreadsheetml/2006/main">
  <c r="E12" i="7" l="1"/>
  <c r="F12" i="7" s="1"/>
  <c r="E13" i="7"/>
  <c r="F13" i="7" s="1"/>
  <c r="E11" i="7"/>
  <c r="F11" i="7" s="1"/>
  <c r="E10" i="7"/>
  <c r="E48" i="7"/>
  <c r="F48" i="7" s="1"/>
  <c r="E49" i="7"/>
  <c r="F49" i="7" s="1"/>
  <c r="E50" i="7"/>
  <c r="F50" i="7" s="1"/>
  <c r="E32" i="7"/>
  <c r="F32" i="7" s="1"/>
  <c r="E33" i="7"/>
  <c r="F33" i="7" s="1"/>
  <c r="E34" i="7"/>
  <c r="F34" i="7" s="1"/>
  <c r="E38" i="7"/>
  <c r="E44" i="7"/>
  <c r="F44" i="7" s="1"/>
  <c r="E3" i="7"/>
  <c r="F3" i="7" s="1"/>
  <c r="E4" i="7"/>
  <c r="F4" i="7" s="1"/>
  <c r="E5" i="7"/>
  <c r="F5" i="7" s="1"/>
  <c r="E7" i="7"/>
  <c r="F7" i="7" s="1"/>
  <c r="E6" i="7"/>
  <c r="F6" i="7" s="1"/>
  <c r="E8" i="7"/>
  <c r="F8" i="7" s="1"/>
  <c r="E9" i="7"/>
  <c r="E26" i="7"/>
  <c r="E25" i="7"/>
  <c r="E24" i="7"/>
  <c r="E46" i="7"/>
  <c r="E41" i="7"/>
  <c r="E39" i="7"/>
  <c r="E15" i="7"/>
  <c r="E23" i="7"/>
  <c r="E16" i="7"/>
  <c r="E17" i="7"/>
  <c r="E18" i="7"/>
  <c r="E19" i="7"/>
  <c r="E20" i="7"/>
  <c r="E47" i="7"/>
  <c r="E45" i="7"/>
  <c r="E36" i="7"/>
  <c r="E35" i="7"/>
  <c r="E37" i="7"/>
  <c r="E42" i="7"/>
  <c r="E14" i="7"/>
  <c r="E21" i="7"/>
  <c r="E40" i="7"/>
  <c r="E43" i="7"/>
  <c r="E31" i="7"/>
  <c r="E27" i="7"/>
  <c r="E28" i="7"/>
  <c r="E30" i="7"/>
  <c r="E29" i="7"/>
  <c r="E22" i="7"/>
  <c r="F22" i="7" s="1"/>
  <c r="F47" i="7"/>
  <c r="F45" i="7"/>
  <c r="F36" i="7"/>
  <c r="F35" i="7"/>
  <c r="F37" i="7"/>
  <c r="F42" i="7"/>
  <c r="F14" i="7"/>
  <c r="F21" i="7"/>
  <c r="F40" i="7"/>
  <c r="F43" i="7"/>
  <c r="F31" i="7"/>
  <c r="F27" i="7"/>
  <c r="F28" i="7"/>
  <c r="F30" i="7"/>
  <c r="F29" i="7"/>
  <c r="F26" i="7"/>
  <c r="F25" i="7"/>
  <c r="F24" i="7"/>
  <c r="F46" i="7"/>
  <c r="F41" i="7"/>
  <c r="F39" i="7"/>
  <c r="F15" i="7"/>
  <c r="F23" i="7"/>
  <c r="F16" i="7"/>
  <c r="F17" i="7"/>
  <c r="F18" i="7"/>
  <c r="F19" i="7"/>
  <c r="F20" i="7"/>
  <c r="F38" i="7"/>
  <c r="F9" i="7"/>
  <c r="F10" i="7"/>
  <c r="H7" i="5" l="1"/>
  <c r="I7" i="5" s="1"/>
  <c r="H8" i="5"/>
  <c r="I8" i="5" s="1"/>
  <c r="B7" i="5"/>
  <c r="C7" i="5" s="1"/>
  <c r="B8" i="5"/>
  <c r="C8" i="5" s="1"/>
  <c r="H5" i="5"/>
  <c r="I5" i="5" s="1"/>
  <c r="H6" i="5"/>
  <c r="I6" i="5" s="1"/>
  <c r="H4" i="5"/>
  <c r="I4" i="5" s="1"/>
  <c r="B5" i="5"/>
  <c r="C5" i="5" s="1"/>
  <c r="B6" i="5"/>
  <c r="C6" i="5" s="1"/>
  <c r="B4" i="5"/>
  <c r="C4" i="5" s="1"/>
</calcChain>
</file>

<file path=xl/comments1.xml><?xml version="1.0" encoding="utf-8"?>
<comments xmlns="http://schemas.openxmlformats.org/spreadsheetml/2006/main">
  <authors>
    <author>davidgitz</author>
  </authors>
  <commentList>
    <comment ref="N45" authorId="0" shapeId="0">
      <text>
        <r>
          <rPr>
            <sz val="9"/>
            <color indexed="81"/>
            <rFont val="Tahoma"/>
            <family val="2"/>
          </rPr>
          <t>Arducopter implements custom_mode.  The better Message is COMMAND_LONG</t>
        </r>
      </text>
    </comment>
  </commentList>
</comments>
</file>

<file path=xl/sharedStrings.xml><?xml version="1.0" encoding="utf-8"?>
<sst xmlns="http://schemas.openxmlformats.org/spreadsheetml/2006/main" count="2582" uniqueCount="570">
  <si>
    <t>Class</t>
  </si>
  <si>
    <t>Flyer Status</t>
  </si>
  <si>
    <t>GCS Status</t>
  </si>
  <si>
    <t>Message ID</t>
  </si>
  <si>
    <t>ID</t>
  </si>
  <si>
    <t>MAV_AUTOPILOT</t>
  </si>
  <si>
    <t>Field Name</t>
  </si>
  <si>
    <t>MAV_AUTOPILOT_GENERIC</t>
  </si>
  <si>
    <t>Description</t>
  </si>
  <si>
    <t>Generic autopilot, full support for everything</t>
  </si>
  <si>
    <t>MAV_AUTOPILOT_ARDUPILOTMEGA</t>
  </si>
  <si>
    <t>ArduPilotMega / ArduCopter, http://diydrones.com</t>
  </si>
  <si>
    <t>MAV_AUTOPILOT_INVALID</t>
  </si>
  <si>
    <t>No valid autopilot, e.g. a GCS or other MAVLink component</t>
  </si>
  <si>
    <t>MAV_MODE_FLAG_SAFETY_ARMED</t>
  </si>
  <si>
    <t>0b10000000 MAV safety set to armed. Motors are enabled / running / can start. Ready to fly.</t>
  </si>
  <si>
    <t>MAV_MODE_FLAG_MANUAL_INPUT_ENABLED</t>
  </si>
  <si>
    <t>0b01000000 remote control input is enabled.</t>
  </si>
  <si>
    <t>MAV_MODE_FLAG_HIL_ENABLED</t>
  </si>
  <si>
    <t>0b00100000 hardware in the loop simulation. All motors / actuators are blocked, but internal software is full operational.</t>
  </si>
  <si>
    <t>MAV_MODE_FLAG_STABILIZE_ENABLED</t>
  </si>
  <si>
    <t>0b00010000 system stabilizes electronically its attitude (and optionally position). It needs however further control inputs to move around.</t>
  </si>
  <si>
    <t>MAV_MODE_FLAG_GUIDED_ENABLED</t>
  </si>
  <si>
    <t>MAV_MODE_FLAG_AUTO_ENABLED</t>
  </si>
  <si>
    <t>0b00000100 autonomous mode enabled, system finds its own goal positions. Guided flag can be set or not, depends on the actual implementation.</t>
  </si>
  <si>
    <t>MAV_MODE_FLAG_TEST_ENABLED</t>
  </si>
  <si>
    <t>0b00000010 system has a test mode enabled. This flag is intended for temporary system tests and should not be used for stable implementations.</t>
  </si>
  <si>
    <t>MAV_MODE_FLAG_CUSTOM_MODE_ENABLED</t>
  </si>
  <si>
    <t>0b00000001 Reserved for future use.</t>
  </si>
  <si>
    <t>0b00001000 guided mode enabled, system flies MISSIONs / mission items</t>
  </si>
  <si>
    <t>MAV_MODE_FLAG</t>
  </si>
  <si>
    <t>MAV_GOTO_DO_HOLD</t>
  </si>
  <si>
    <t>Hold at the current position.</t>
  </si>
  <si>
    <t>MAV_GOTO_DO_CONTINUE</t>
  </si>
  <si>
    <t>Continue with the next item in mission execution.</t>
  </si>
  <si>
    <t>MAV_GOTO_HOLD_AT_CURRENT_POSITION</t>
  </si>
  <si>
    <t>Hold at the current position of the system</t>
  </si>
  <si>
    <t>MAV_GOTO_HOLD_AT_SPECIFIED_POSITION</t>
  </si>
  <si>
    <t>Hold at the position specified in the parameters of the DO_HOLD action</t>
  </si>
  <si>
    <t>MAV_GOTO</t>
  </si>
  <si>
    <t>MAV_MODE</t>
  </si>
  <si>
    <t>MAV_MODE_PREFLIGHT</t>
  </si>
  <si>
    <t>System is not ready to fly, booting, calibrating, etc. No flag is set.</t>
  </si>
  <si>
    <t>MAV_MODE_STABILIZE_DISARMED</t>
  </si>
  <si>
    <t>System is allowed to be active, under assisted RC control.</t>
  </si>
  <si>
    <t>MAV_MODE_STABILIZE_ARMED</t>
  </si>
  <si>
    <t>System is allowed to be active, under assisted RC control</t>
  </si>
  <si>
    <t>MAV_MODE_MANUAL_DISARMED</t>
  </si>
  <si>
    <t>System is allowed to be active, under manual (RC) control, no stabilization</t>
  </si>
  <si>
    <t>MAV_MODE_MANUAL_ARMED</t>
  </si>
  <si>
    <t>MAV_MODE_GUIDED_DISARMED</t>
  </si>
  <si>
    <t>System is allowed to be active, under autonomous control, manual setpoint</t>
  </si>
  <si>
    <t>MAV_MODE_GUIDED_ARMED</t>
  </si>
  <si>
    <t>MAV_MODE_AUTO_DISARMED</t>
  </si>
  <si>
    <t>System is allowed to be active, under autonomous control and navigation (the trajectory is decided onboard and not pre-programmed by MISSIONs)</t>
  </si>
  <si>
    <t>MAV_MODE_AUTO_ARMED</t>
  </si>
  <si>
    <t>MAV_MODE_TEST_DISARMED</t>
  </si>
  <si>
    <t>UNDEFINED mode. This solely depends on the autopilot - use with caution, intended for developers only</t>
  </si>
  <si>
    <t>MAV_MODE_TEST_ARMED</t>
  </si>
  <si>
    <t>UNDEFINED mode. This solely depends on the autopilot - use with caution, intended for developers only.</t>
  </si>
  <si>
    <t>MAV_STATE</t>
  </si>
  <si>
    <t>MAV_STATE_UNINIT</t>
  </si>
  <si>
    <t>Uninitialized system, state is unknown.</t>
  </si>
  <si>
    <t>MAV_STATE_BOOT</t>
  </si>
  <si>
    <t>System is booting up.</t>
  </si>
  <si>
    <t>MAV_STATE_CALIBRATING</t>
  </si>
  <si>
    <t>System is calibrating and not flight-ready.</t>
  </si>
  <si>
    <t>MAV_STATE_STANDBY</t>
  </si>
  <si>
    <t>System is grounded and on standby. It can be launched any time</t>
  </si>
  <si>
    <t>MAV_STATE_ACTIVE</t>
  </si>
  <si>
    <t>System is active and might be already airborne. Motors are engaged</t>
  </si>
  <si>
    <t>MAV_STATE_CRITICAL</t>
  </si>
  <si>
    <t>System is in a non-normal flight mode. It can however still navigate.</t>
  </si>
  <si>
    <t>MAV_STATE_EMERGENCY</t>
  </si>
  <si>
    <t>System is in a non-normal flight mode. It lost control over parts or over the whole airframe. It is in mayday and going down</t>
  </si>
  <si>
    <t>MAV_STATE_POWEROFF</t>
  </si>
  <si>
    <t>System just initialized its power-down sequence, will shut down now.</t>
  </si>
  <si>
    <t>MAV_TYPE</t>
  </si>
  <si>
    <t>MAV_TYPE_GENERIC</t>
  </si>
  <si>
    <t>Generic micro air vehicle.</t>
  </si>
  <si>
    <t>MAV_TYPE_QUADROTOR</t>
  </si>
  <si>
    <t>Quadrotor</t>
  </si>
  <si>
    <t>MAV_TYPE_ANTENNA_TRACKER</t>
  </si>
  <si>
    <t>Ground installation</t>
  </si>
  <si>
    <t>MAV_TYPE_GCS</t>
  </si>
  <si>
    <t>Operator control unit / ground control station</t>
  </si>
  <si>
    <t>MAV_TYPE_GROUND_ROVER</t>
  </si>
  <si>
    <t>Ground rover</t>
  </si>
  <si>
    <t>MAV_COMPONENT</t>
  </si>
  <si>
    <t>MAV_COMP_ID_ALL</t>
  </si>
  <si>
    <t>MAV_COMP_ID_GPS</t>
  </si>
  <si>
    <t>MAV_COMP_ID_MISSIONPLANNER</t>
  </si>
  <si>
    <t>MAV_COMP_ID_PATHPLANNER</t>
  </si>
  <si>
    <t>MAV_COMP_ID_MAPPER</t>
  </si>
  <si>
    <t>MAV_COMP_ID_CAMERA</t>
  </si>
  <si>
    <t>MAV_COMP_ID_IMU</t>
  </si>
  <si>
    <t>MAV_COMP_ID_IMU_2</t>
  </si>
  <si>
    <t>MAV_COMP_ID_IMU_3</t>
  </si>
  <si>
    <t>MAV_COMP_ID_UDP_BRIDGE</t>
  </si>
  <si>
    <t>MAV_COMP_ID_UART_BRIDGE</t>
  </si>
  <si>
    <t>MAV_COMP_ID_SYSTEM_CONTROL</t>
  </si>
  <si>
    <t>MAV_COMP_ID_SERVO1</t>
  </si>
  <si>
    <t>MAV_COMP_ID_SERVO2</t>
  </si>
  <si>
    <t>MAV_COMP_ID_SERVO3</t>
  </si>
  <si>
    <t>MAV_COMP_ID_SERVO4</t>
  </si>
  <si>
    <t>MAV_COMP_ID_SERVO5</t>
  </si>
  <si>
    <t>MAV_COMP_ID_SERVO6</t>
  </si>
  <si>
    <t>MAV_COMP_ID_SERVO7</t>
  </si>
  <si>
    <t>MAV_COMP_ID_SERVO8</t>
  </si>
  <si>
    <t>MAV_COMP_ID_SERVO9</t>
  </si>
  <si>
    <t>MAV_COMP_ID_SERVO10</t>
  </si>
  <si>
    <t>MAV_COMP_ID_SERVO11</t>
  </si>
  <si>
    <t>MAV_COMP_ID_SERVO12</t>
  </si>
  <si>
    <t>MAV_COMP_ID_SERVO13</t>
  </si>
  <si>
    <t>MAV_COMP_ID_SERVO14</t>
  </si>
  <si>
    <t>MAV_FRAME</t>
  </si>
  <si>
    <t>MAV_FRAME_GLOBAL</t>
  </si>
  <si>
    <t>Global coordinate frame, WGS84 coordinate system. First value / x: latitude, second value / y: longitude, third value / z: positive altitude over mean sea level (MSL)</t>
  </si>
  <si>
    <t>MAV_FRAME_LOCAL_NED</t>
  </si>
  <si>
    <t>Local coordinate frame, Z-up (x: north, y: east, z: down).</t>
  </si>
  <si>
    <t>MAV_FRAME_MISSION</t>
  </si>
  <si>
    <t>NOT a coordinate frame, indicates a mission command.</t>
  </si>
  <si>
    <t>MAV_FRAME_GLOBAL_RELATIVE_ALT</t>
  </si>
  <si>
    <t>Global coordinate frame, WGS84 coordinate system, relative altitude over ground with respect to the home position. First value / x: latitude, second value / y: longitude, third value / z: positive altitude with 0 being at the altitude of the home location.</t>
  </si>
  <si>
    <t>MAV_FRAME_LOCAL_ENU</t>
  </si>
  <si>
    <t>Local coordinate frame, Z-down (x: east, y: north, z: up)</t>
  </si>
  <si>
    <t>MAVLINK_DATA_STREAM_TYPE</t>
  </si>
  <si>
    <t>MAVLINK_DATA_STREAM_IMG_JPEG</t>
  </si>
  <si>
    <t>MAVLINK_DATA_STREAM_IMG_BMP</t>
  </si>
  <si>
    <t>MAVLINK_DATA_STREAM_IMG_RAW8U</t>
  </si>
  <si>
    <t>MAVLINK_DATA_STREAM_IMG_RAW32U</t>
  </si>
  <si>
    <t>MAVLINK_DATA_STREAM_IMG_PGM</t>
  </si>
  <si>
    <t>MAVLINK_DATA_STREAM_IMG_PNG</t>
  </si>
  <si>
    <t>MAV_CMD</t>
  </si>
  <si>
    <t>MAV_CMD_NAV_WAYPOINT</t>
  </si>
  <si>
    <t>Navigate to MISSION.</t>
  </si>
  <si>
    <t>MAV_CMD_NAV_LOITER_UNLIM</t>
  </si>
  <si>
    <t>Loiter around this MISSION an unlimited amount of time</t>
  </si>
  <si>
    <t>MAV_CMD_NAV_LOITER_TURNS</t>
  </si>
  <si>
    <t>Loiter around this MISSION for X turns</t>
  </si>
  <si>
    <t>MAV_CMD_NAV_LOITER_TIME</t>
  </si>
  <si>
    <t>Loiter around this MISSION for X seconds</t>
  </si>
  <si>
    <t>MAV_CMD_NAV_RETURN_TO_LAUNCH</t>
  </si>
  <si>
    <t>Return to launch location</t>
  </si>
  <si>
    <t>MAV_CMD_NAV_LAND</t>
  </si>
  <si>
    <t>Land at location</t>
  </si>
  <si>
    <t>MAV_CMD_NAV_TAKEOFF</t>
  </si>
  <si>
    <t>Takeoff from ground / hand</t>
  </si>
  <si>
    <t>MAV_CMD_NAV_ROI</t>
  </si>
  <si>
    <t>Sets the region of interest (ROI) for a sensor set or the vehicle itself. This can then be used by the vehicles control system to control the vehicle attitude and the attitude of various sensors such as cameras.</t>
  </si>
  <si>
    <t>MAV_CMD_NAV_PATHPLANNING</t>
  </si>
  <si>
    <t>Control autonomous path planning on the MAV.</t>
  </si>
  <si>
    <t>MAV_CMD_NAV_LAST</t>
  </si>
  <si>
    <t>NOP - This command is only used to mark the upper limit of the NAV/ACTION commands in the enumeration</t>
  </si>
  <si>
    <t>MAV_CMD_CONDITION_DELAY</t>
  </si>
  <si>
    <t>Delay mission state machine.</t>
  </si>
  <si>
    <t>MAV_CMD_CONDITION_CHANGE_ALT</t>
  </si>
  <si>
    <t>Ascend/descend at rate. Delay mission state machine until desired altitude reached.</t>
  </si>
  <si>
    <t>MAV_CMD_CONDITION_DISTANCE</t>
  </si>
  <si>
    <t>Delay mission state machine until within desired distance of next NAV point.</t>
  </si>
  <si>
    <t>MAV_CMD_CONDITION_YAW</t>
  </si>
  <si>
    <t>Reach a certain target angle.</t>
  </si>
  <si>
    <t>MAV_CMD_CONDITION_LAST</t>
  </si>
  <si>
    <t>NOP - This command is only used to mark the upper limit of the CONDITION commands in the enumeration</t>
  </si>
  <si>
    <t>MAV_CMD_DO_SET_MODE</t>
  </si>
  <si>
    <t>Set system mode.</t>
  </si>
  <si>
    <t>MAV_CMD_DO_JUMP</t>
  </si>
  <si>
    <t>Jump to the desired command in the mission list. Repeat this action only the specified number of times</t>
  </si>
  <si>
    <t>MAV_CMD_DO_CHANGE_SPEED</t>
  </si>
  <si>
    <t>Change speed and/or throttle set points.</t>
  </si>
  <si>
    <t>MAV_CMD_DO_SET_HOME</t>
  </si>
  <si>
    <t>Changes the home location either to the current location or a specified location.</t>
  </si>
  <si>
    <t>MAV_CMD_DO_SET_PARAMETER</t>
  </si>
  <si>
    <t>Set a system parameter. Caution! Use of this command requires knowledge of the numeric enumeration value of the parameter.</t>
  </si>
  <si>
    <t>MAV_CMD_DO_SET_RELAY</t>
  </si>
  <si>
    <t>Set a relay to a condition.</t>
  </si>
  <si>
    <t>MAV_CMD_DO_REPEAT_RELAY</t>
  </si>
  <si>
    <t>Cycle a relay on and off for a desired number of cyles with a desired period.</t>
  </si>
  <si>
    <t>MAV_CMD_DO_SET_SERVO</t>
  </si>
  <si>
    <t>Set a servo to a desired PWM value.</t>
  </si>
  <si>
    <t>MAV_CMD_DO_REPEAT_SERVO</t>
  </si>
  <si>
    <t>Cycle a between its nominal setting and a desired PWM for a desired number of cycles with a desired period.</t>
  </si>
  <si>
    <t>MAV_CMD_DO_CONTROL_VIDEO</t>
  </si>
  <si>
    <t>Control onboard camera system.</t>
  </si>
  <si>
    <t>MAV_CMD_DO_LAST</t>
  </si>
  <si>
    <t>NOP - This command is only used to mark the upper limit of the DO commands in the enumeration</t>
  </si>
  <si>
    <t>MAV_CMD_PREFLIGHT_CALIBRATION</t>
  </si>
  <si>
    <t>Trigger calibration. This command will be only accepted if in pre-flight mode.</t>
  </si>
  <si>
    <t>MAV_CMD_PREFLIGHT_SET_SENSOR_OFFSETS</t>
  </si>
  <si>
    <t>Set sensor offsets. This command will be only accepted if in pre-flight mode.</t>
  </si>
  <si>
    <t>MAV_CMD_PREFLIGHT_STORAGE</t>
  </si>
  <si>
    <t>Request storage of different parameter values and logs. This command will be only accepted if in pre-flight mode.</t>
  </si>
  <si>
    <t>MAV_CMD_PREFLIGHT_REBOOT_SHUTDOWN</t>
  </si>
  <si>
    <t>Request the reboot or shutdown of system components.</t>
  </si>
  <si>
    <t>MAV_CMD_OVERRIDE_GOTO</t>
  </si>
  <si>
    <t>Hold / continue the current action</t>
  </si>
  <si>
    <t>MAV_CMD_MISSION_START</t>
  </si>
  <si>
    <t>start running a mission</t>
  </si>
  <si>
    <t>MAV_DATA_STREAM_ALL</t>
  </si>
  <si>
    <t>Enable all data streams</t>
  </si>
  <si>
    <t>MAV_DATA_STREAM_RAW_SENSORS</t>
  </si>
  <si>
    <t>Enable IMU_RAW, GPS_RAW, GPS_STATUS packets.</t>
  </si>
  <si>
    <t>MAV_DATA_STREAM_EXTENDED_STATUS</t>
  </si>
  <si>
    <t>Enable GPS_STATUS, CONTROL_STATUS, AUX_STATUS</t>
  </si>
  <si>
    <t>MAV_DATA_STREAM_RC_CHANNELS</t>
  </si>
  <si>
    <t>Enable RC_CHANNELS_SCALED, RC_CHANNELS_RAW, SERVO_OUTPUT_RAW</t>
  </si>
  <si>
    <t>MAV_DATA_STREAM_RAW_CONTROLLER</t>
  </si>
  <si>
    <t>Enable ATTITUDE_CONTROLLER_OUTPUT, POSITION_CONTROLLER_OUTPUT, NAV_CONTROLLER_OUTPUT.</t>
  </si>
  <si>
    <t>MAV_DATA_STREAM_POSITION</t>
  </si>
  <si>
    <t>Enable LOCAL_POSITION, GLOBAL_POSITION/GLOBAL_POSITION_INT messages.</t>
  </si>
  <si>
    <t>MAV_DATA_STREAM_EXTRA1</t>
  </si>
  <si>
    <t>Dependent on the autopilot</t>
  </si>
  <si>
    <t>MAV_DATA_STREAM_EXTRA2</t>
  </si>
  <si>
    <t>MAV_DATA_STREAM_EXTRA3</t>
  </si>
  <si>
    <t>MAV_DATA_STREAM</t>
  </si>
  <si>
    <t>MAV_ROI</t>
  </si>
  <si>
    <t>MAV_ROI_NONE</t>
  </si>
  <si>
    <t>No region of interest.</t>
  </si>
  <si>
    <t>MAV_ROI_WPNEXT</t>
  </si>
  <si>
    <t>Point toward next MISSION.</t>
  </si>
  <si>
    <t>MAV_ROI_WPINDEX</t>
  </si>
  <si>
    <t>Point toward given MISSION.</t>
  </si>
  <si>
    <t>MAV_ROI_LOCATION</t>
  </si>
  <si>
    <t>Point toward fixed location.</t>
  </si>
  <si>
    <t>MAV_ROI_TARGET</t>
  </si>
  <si>
    <t>Point toward of given id.</t>
  </si>
  <si>
    <t>MAV_CMD_ACK</t>
  </si>
  <si>
    <t>MAV_CMD_ACK_OK</t>
  </si>
  <si>
    <t>Command / mission item is ok.</t>
  </si>
  <si>
    <t>MAV_CMD_ACK_ERR_FAIL</t>
  </si>
  <si>
    <t>Generic error message if none of the other reasons fails or if no detailed error reporting is implemented.</t>
  </si>
  <si>
    <t>MAV_CMD_ACK_ERR_ACCESS_DENIED</t>
  </si>
  <si>
    <t>The system is refusing to accept this command from this source / communication partner.</t>
  </si>
  <si>
    <t>MAV_CMD_ACK_ERR_NOT_SUPPORTED</t>
  </si>
  <si>
    <t>Command or mission item is not supported, other commands would be accepted.</t>
  </si>
  <si>
    <t>MAV_CMD_ACK_ERR_COORDINATE_FRAME_NOT_SUPPORTED</t>
  </si>
  <si>
    <t>The coordinate frame of this command / mission item is not supported.</t>
  </si>
  <si>
    <t>MAV_CMD_ACK_ERR_COORDINATES_OUT_OF_RANGE</t>
  </si>
  <si>
    <t>The coordinate frame of this command is ok, but he coordinate values exceed the safety limits of this system. This is a generic error, please use the more specific error messages below if possible.</t>
  </si>
  <si>
    <t>MAV_CMD_ACK_ERR_X_LAT_OUT_OF_RANGE</t>
  </si>
  <si>
    <t>The X or latitude value is out of range.</t>
  </si>
  <si>
    <t>MAV_CMD_ACK_ERR_Y_LON_OUT_OF_RANGE</t>
  </si>
  <si>
    <t>The Y or longitude value is out of range.</t>
  </si>
  <si>
    <t>MAV_CMD_ACK_ERR_Z_ALT_OUT_OF_RANGE</t>
  </si>
  <si>
    <t>The Z or altitude value is out of range.</t>
  </si>
  <si>
    <t>MAV_VAR</t>
  </si>
  <si>
    <t>MAV_VAR_FLOAT</t>
  </si>
  <si>
    <t>32 bit float</t>
  </si>
  <si>
    <t>MAV_VAR_UINT8</t>
  </si>
  <si>
    <t>8 bit unsigned integer</t>
  </si>
  <si>
    <t>MAV_VAR_INT8</t>
  </si>
  <si>
    <t>8 bit signed integer</t>
  </si>
  <si>
    <t>MAV_VAR_UINT16</t>
  </si>
  <si>
    <t>16 bit unsigned integer</t>
  </si>
  <si>
    <t>MAV_VAR_INT16</t>
  </si>
  <si>
    <t>16 bit signed integer</t>
  </si>
  <si>
    <t>MAV_VAR_UINT32</t>
  </si>
  <si>
    <t>32 bit unsigned integer</t>
  </si>
  <si>
    <t>MAV_VAR_INT32</t>
  </si>
  <si>
    <t>32 bit signed integer</t>
  </si>
  <si>
    <t>MAV_RESULT</t>
  </si>
  <si>
    <t>MAV_RESULT_ACCEPTED</t>
  </si>
  <si>
    <t>Command ACCEPTED and EXECUTED</t>
  </si>
  <si>
    <t>MAV_RESULT_TEMPORARILY_REJECTED</t>
  </si>
  <si>
    <t>Command TEMPORARY REJECTED/DENIED</t>
  </si>
  <si>
    <t>MAV_RESULT_DENIED</t>
  </si>
  <si>
    <t>Command PERMANENTLY DENIED</t>
  </si>
  <si>
    <t>MAV_RESULT_UNSUPPORTED</t>
  </si>
  <si>
    <t>Command UNKNOWN/UNSUPPORTED</t>
  </si>
  <si>
    <t>MAV_RESULT_FAILED</t>
  </si>
  <si>
    <t>Command executed, but failed</t>
  </si>
  <si>
    <t>MAV_MISSION_RESULT</t>
  </si>
  <si>
    <t>MAV_MISSION_ACCEPTED</t>
  </si>
  <si>
    <t>mission accepted OK</t>
  </si>
  <si>
    <t>MAV_MISSION_ERROR</t>
  </si>
  <si>
    <t>generic error / not accepting mission commands at all right now</t>
  </si>
  <si>
    <t>MAV_MISSION_UNSUPPORTED_FRAME</t>
  </si>
  <si>
    <t>coordinate frame is not supported</t>
  </si>
  <si>
    <t>MAV_MISSION_UNSUPPORTED</t>
  </si>
  <si>
    <t>command is not supported</t>
  </si>
  <si>
    <t>MAV_MISSION_NO_SPACE</t>
  </si>
  <si>
    <t>mission item exceeds storage space</t>
  </si>
  <si>
    <t>MAV_MISSION_INVALID</t>
  </si>
  <si>
    <t>one of the parameters has an invalid value</t>
  </si>
  <si>
    <t>MAV_MISSION_INVALID_PARAM1</t>
  </si>
  <si>
    <t>param1 has an invalid value</t>
  </si>
  <si>
    <t>MAV_MISSION_INVALID_PARAM2</t>
  </si>
  <si>
    <t>param2 has an invalid value</t>
  </si>
  <si>
    <t>MAV_MISSION_INVALID_PARAM3</t>
  </si>
  <si>
    <t>param3 has an invalid value</t>
  </si>
  <si>
    <t>MAV_MISSION_INVALID_PARAM4</t>
  </si>
  <si>
    <t>param4 has an invalid value</t>
  </si>
  <si>
    <t>MAV_MISSION_INVALID_PARAM5_X</t>
  </si>
  <si>
    <t>x/param5 has an invalid value</t>
  </si>
  <si>
    <t>MAV_MISSION_INVALID_PARAM6_Y</t>
  </si>
  <si>
    <t>y/param6 has an invalid value</t>
  </si>
  <si>
    <t>MAV_MISSION_INVALID_PARAM7</t>
  </si>
  <si>
    <t>param7 has an invalid value</t>
  </si>
  <si>
    <t>MAV_MISSION_INVALID_SEQUENCE</t>
  </si>
  <si>
    <t>received waypoint out of sequence</t>
  </si>
  <si>
    <t>MAV_MISSION_DENIED</t>
  </si>
  <si>
    <t>not accepting any mission commands from this communication partner</t>
  </si>
  <si>
    <t>Message Type</t>
  </si>
  <si>
    <t>HEARTBEAT</t>
  </si>
  <si>
    <t>SYS_STATUS</t>
  </si>
  <si>
    <t>SYSTEM_TIME</t>
  </si>
  <si>
    <t>PING</t>
  </si>
  <si>
    <t>CHANGE_OPERATOR_CONTROL</t>
  </si>
  <si>
    <t>CHANGE_OPERATOR_CONTROL_ACK</t>
  </si>
  <si>
    <t>AUTH_KEY</t>
  </si>
  <si>
    <t>SET_MODE</t>
  </si>
  <si>
    <t>PARAM_REQUEST_READ</t>
  </si>
  <si>
    <t>PARAM_REQUEST_LIST</t>
  </si>
  <si>
    <t>PARAM_VALUE</t>
  </si>
  <si>
    <t>PARAM_SET</t>
  </si>
  <si>
    <t>GPS_RAW_INT</t>
  </si>
  <si>
    <t>GPS_STATUS</t>
  </si>
  <si>
    <t>The heartbeat message shows that a system is present and responding. The type of the MAV and Autopilot hardware allow the receiving system to treat further messages from this system appropriate (e.g. by laying out the user interface based on the autopilot).</t>
  </si>
  <si>
    <t>The general system state. If the system is following the MAVLink standard, the system state is mainly defined by three orthogonal states/modes: The system mode, which is either LOCKED (motors shut down and locked), MANUAL (system under RC control), GUIDED (system with autonomous position control, position setpoint controlled manually) or AUTO (system guided by path/waypoint planner). The NAV_MODE defined the current flight state: LIFTOFF (often an open-loop maneuver), LANDING, WAYPOINTS or VECTOR. This represents the internal navigation state machine. The system status shows wether the system is currently active or not and if an emergency occured. During the CRITICAL and EMERGENCY states the MAV is still considered to be active, but should start emergency procedures autonomously. After a failure occured it should first move from active to critical to allow manual intervention and then move to emergency after a certain timeout</t>
  </si>
  <si>
    <t>The system time is the time of the master clock, typically the computer clock of the main onboard computer.</t>
  </si>
  <si>
    <t>A ping message either requesting or responding to a ping. This allows to measure the system latencies, including serial port, radio modem and UDP connections.</t>
  </si>
  <si>
    <t>Request to control this MAV</t>
  </si>
  <si>
    <t>Accept / deny control of this MAV</t>
  </si>
  <si>
    <t>Emit an encrypted signature / key identifying this system. PLEASE NOTE: This protocol has been kept simple, so transmitting the key requires an encrypted channel for true safety.</t>
  </si>
  <si>
    <t>Set the system mode, as defined by enum MAV_MODE. There is no target component id as the mode is by definition for the overall aircraft, not only for one component.</t>
  </si>
  <si>
    <t>Request to read the onboard parameter with the param_id string id. Onboard parameters are stored as key[const char*] -&gt; value[float]. This allows to send a parameter to any other component (such as the GCS) without the need of previous knowledge of possible parameter names. Thus the same GCS can store different parameters for different autopilots. See also http://qgroundcontrol.org/parameter_interface for a full documentation of QGroundControl and IMU code.</t>
  </si>
  <si>
    <t>Request all parameters of this component. After his request, all parameters are emitted.</t>
  </si>
  <si>
    <t>Emit the value of a onboard parameter. The inclusion of param_count and param_index in the message allows the recipient to keep track of received parameters and allows him to re-request missing parameters after a loss or timeout</t>
  </si>
  <si>
    <t>Set a parameter value TEMPORARILY to RAM. It will be reset to default on system reboot. Send the ACTION MAV_ACTION_STORAGE_WRITE to PERMANENTLY write the RAM contents to EEPROM. IMPORTANT: The receiving component should acknowledge the new parameter value by sending a param_value message to all communication partners. This will also ensure that multiple GCS all have an up-to-date list of all parameters. If the sending GCS did not receive a PARAM_VALUE message within its timeout time, it should re-send the PARAM_SET message</t>
  </si>
  <si>
    <t>The global position, as returned by the Global Positioning System (GPS). This is NOT the global position estimate of the sytem, but rather a RAW sensor value. See message GLOBAL_POSITION for the global position estimate. Coordinate frame is right-handed, Z-axis up (GPS frame)</t>
  </si>
  <si>
    <t>The positioning status, as reported by GPS. This message is intended to display status information about each satellite visible to the receiver. See message GLOBAL_POSITION for the global position estimate. This message can contain information for up to 20 satellites.</t>
  </si>
  <si>
    <t>SCALED_IMU</t>
  </si>
  <si>
    <t>The RAW IMU readings for the usual 9DOF sensor setup. This message should contain the scaled values to the described units</t>
  </si>
  <si>
    <t>RAW_IMU</t>
  </si>
  <si>
    <t>The RAW IMU readings for the usual 9DOF sensor setup. This message should always contain the true raw values without any scaling to allow data capture and system debugging.</t>
  </si>
  <si>
    <t>RAW_PRESSURE</t>
  </si>
  <si>
    <t>SCALED_PRESSURE</t>
  </si>
  <si>
    <t>ATTITUDE</t>
  </si>
  <si>
    <t>The RAW pressure readings for the typical setup of one absolute pressure and one differential pressure sensor. The sensor values should be the raw, UNSCALED ADC values.</t>
  </si>
  <si>
    <t>The pressure readings for the typical setup of one absolute and differential pressure sensor. The units are as specified in each field.</t>
  </si>
  <si>
    <t>The attitude in the aeronautical frame (right-handed, Z-down, X-front, Y-right).</t>
  </si>
  <si>
    <t>ATTITUDE_QUATERNION</t>
  </si>
  <si>
    <t>LOCAL_POSITION_NED</t>
  </si>
  <si>
    <t>GLOBAL_POSITION_INT</t>
  </si>
  <si>
    <t>The attitude in the aeronautical frame (right-handed, Z-down, X-front, Y-right), expressed as quaternion.</t>
  </si>
  <si>
    <t>The filtered local position (e.g. fused computer vision and accelerometers). Coordinate frame is right-handed, Z-axis down (aeronautical frame, NED / north-east-down convention)</t>
  </si>
  <si>
    <t>The filtered global position (e.g. fused GPS and accelerometers). The position is in GPS-frame (right-handed, Z-up). It is designed as scaled integer message since the resolution of float is not sufficient.</t>
  </si>
  <si>
    <t>RC_CHANNELS_SCALED</t>
  </si>
  <si>
    <t>RC_CHANNELS_RAW</t>
  </si>
  <si>
    <t>The scaled values of the RC channels received. (-100%) -10000, (0%) 0, (100%) 10000</t>
  </si>
  <si>
    <t>The RAW values of the RC channels received. The standard PPM modulation is as follows: 1000 microseconds: 0%, 2000 microseconds: 100%. Individual receivers/transmitters might violate this specification.</t>
  </si>
  <si>
    <t>SERVO_OUTPUT_RAW</t>
  </si>
  <si>
    <t>MISSION_REQUEST_PARTIAL_LIST</t>
  </si>
  <si>
    <t>MISSION_WRITE_PARTIAL_LIST</t>
  </si>
  <si>
    <t>The RAW values of the servo outputs (for RC input from the remote, use the RC_CHANNELS messages). The standard PPM modulation is as follows: 1000 microseconds: 0%, 2000 microseconds: 100%.</t>
  </si>
  <si>
    <t>Request the overall list of MISSIONs from the system/component. http://qgroundcontrol.org/mavlink/waypoint_protocol</t>
  </si>
  <si>
    <t>This message is sent to the MAV to write a partial list. If start index == end index, only one item will be transmitted / updated. If the start index is NOT 0 and above the current list size, this request should be REJECTED!</t>
  </si>
  <si>
    <t>MISSION_ITEM</t>
  </si>
  <si>
    <t>MISSION_REQUEST</t>
  </si>
  <si>
    <t>MISSION_SET_CURRENT</t>
  </si>
  <si>
    <t>Message encoding a mission item. This message is emitted to announce the presence of a mission item and to set a mission item on the system. The mission item can be either in x, y, z meters (type: LOCAL) or x:lat, y:lon, z:altitude. Local frame is Z-down, right handed (NED), global frame is Z-up, right handed (ENU). http://qgroundcontrol.org/mavlink/waypoint_protocol</t>
  </si>
  <si>
    <t>Request the information of the mission item with the sequence number seq. The response of the system to this message should be a MISSION_ITEM message. http://qgroundcontrol.org/mavlink/waypoint_protocol</t>
  </si>
  <si>
    <t>Set the mission item with sequence number seq as current item. This means that the MAV will continue to this mission item on the shortest path (not following the mission items in-between).</t>
  </si>
  <si>
    <t>MISSION_CURRENT</t>
  </si>
  <si>
    <t>MISSION_REQUEST_LIST</t>
  </si>
  <si>
    <t>MISSION_COUNT</t>
  </si>
  <si>
    <t>Message that announces the sequence number of the current active mission item. The MAV will fly towards this mission item.</t>
  </si>
  <si>
    <t>Request the overall list of mission items from the system/component.</t>
  </si>
  <si>
    <t>This message is emitted as response to MISSION_REQUEST_LIST by the MAV and to initiate a write transaction. The GCS can then request the individual mission item based on the knowledge of the total number of MISSIONs.</t>
  </si>
  <si>
    <t>MISSION_CLEAR_ALL</t>
  </si>
  <si>
    <t>MISSION_ITEM_REACHED</t>
  </si>
  <si>
    <t>MISSION_ACK</t>
  </si>
  <si>
    <t>SET_GPS_GLOBAL_ORIGIN</t>
  </si>
  <si>
    <t>Delete all mission items at once</t>
  </si>
  <si>
    <t>A certain mission item has been reached. The system will either hold this position (or circle on the orbit) or (if the autocontinue on the WP was set) continue to the next MISSION.</t>
  </si>
  <si>
    <t>Ack message during MISSION handling. The type field states if this message is a positive ack (type=0) or if an error happened (type=non-zero).</t>
  </si>
  <si>
    <t>As local MISSIONs exist, the global MISSION reference allows to transform between the local coordinate frame and the global (GPS) coordinate frame. This can be necessary when e.g. in- and outdoor settings are connected and the MAV should move from in- to outdoor.</t>
  </si>
  <si>
    <t>GPS_GLOBAL_ORIGIN</t>
  </si>
  <si>
    <t>SET_LOCAL_POSITION_SETPOINT</t>
  </si>
  <si>
    <t>Once the MAV sets a new GPS-Local correspondence, this message announces the origin (0,0,0) position</t>
  </si>
  <si>
    <t>Set the setpoint for a local position controller. This is the position in local coordinates the MAV should fly to. This message is sent by the path/MISSION planner to the onboard position controller. As some MAVs have a degree of freedom in yaw (e.g. all helicopters/quadrotors), the desired yaw angle is part of the message.</t>
  </si>
  <si>
    <t>LOCAL_POSITION_SETPOINT</t>
  </si>
  <si>
    <t>GLOBAL_POSITION_SETPOINT_INT</t>
  </si>
  <si>
    <t>SET_GLOBAL_POSITION_SETPOINT_INT</t>
  </si>
  <si>
    <t>Transmit the current local setpoint of the controller to other MAVs (collision avoidance) and to the GCS.</t>
  </si>
  <si>
    <t>Set the current global position setpoint</t>
  </si>
  <si>
    <t>SAFETY_SET_ALLOWED_AREA</t>
  </si>
  <si>
    <t>SAFETY_ALLOWED_AREA</t>
  </si>
  <si>
    <t>Set a safety zone (volume), which is defined by two corners of a cube. This message can be used to tell the MAV which setpoints/MISSIONs to accept and which to reject. Safety areas are often enforced by national or competition regulations.</t>
  </si>
  <si>
    <t>Read out the safety zone the MAV currently assumes.</t>
  </si>
  <si>
    <t>SET_ROLL_PITCH_YAW_THRUST</t>
  </si>
  <si>
    <t>ROLL_PITCH_YAW_THRUST_SETPOINT</t>
  </si>
  <si>
    <t>Set roll, pitch and yaw.</t>
  </si>
  <si>
    <t>Setpoint in roll, pitch, yaw currently active on the system.</t>
  </si>
  <si>
    <t>ROLL_PITCH_YAW_SPEED_THRUST_SETPOINT</t>
  </si>
  <si>
    <t>NAV_CONTROLLER_OUTPUT</t>
  </si>
  <si>
    <t>STATE_CORRECTION</t>
  </si>
  <si>
    <t>Outputs of the APM navigation controller. The primary use of this message is to check the response and signs of the controller before actual flight and to assist with tuning controller parameters</t>
  </si>
  <si>
    <t>Setpoint in rollspeed, pitchspeed, yawspeed currently active on the system.</t>
  </si>
  <si>
    <t>Corrects the systems state by adding an error correction term to the position and velocity, and by rotating the attitude by a correction angle.</t>
  </si>
  <si>
    <t>REQUEST_DATA_STREAM</t>
  </si>
  <si>
    <t>DATA_STREAM</t>
  </si>
  <si>
    <t>MANUAL_CONTROL</t>
  </si>
  <si>
    <t>RC_CHANNELS_OVERRIDE</t>
  </si>
  <si>
    <t>VFR_HUD</t>
  </si>
  <si>
    <t>COMMAND_LONG</t>
  </si>
  <si>
    <t>The RAW values of the RC channels sent to the MAV to override info received from the RC radio. A value of -1 means no change to that channel. A value of 0 means control of that channel should be released back to the RC radio. The standard PPM modulation is as follows: 1000 microseconds: 0%, 2000 microseconds: 100%. Individual receivers/transmitters might violate this specification</t>
  </si>
  <si>
    <t>Metrics typically displayed on a HUD for fixed wing aircraft</t>
  </si>
  <si>
    <t>Send a command with up to four parameters to the MAV</t>
  </si>
  <si>
    <t>COMMAND_ACK</t>
  </si>
  <si>
    <t>HIL_STATE</t>
  </si>
  <si>
    <t>HIL_CONTROLS</t>
  </si>
  <si>
    <t>Sent from simulation to autopilot. This packet is useful for high throughput applications such as hardware in the loop simulations.</t>
  </si>
  <si>
    <t>Sent from autopilot to simulation. Hardware in the loop control outputs</t>
  </si>
  <si>
    <t>HIL_RC_INPUTS_RAW</t>
  </si>
  <si>
    <t>OPTICAL_FLOW</t>
  </si>
  <si>
    <t>Sent from simulation to autopilot. The RAW values of the RC channels received. The standard PPM modulation is as follows: 1000 microseconds: 0%, 2000 microseconds: 100%. Individual receivers/transmitters might violate this specification.</t>
  </si>
  <si>
    <t>Optical flow from a flow sensor (e.g. optical mouse sensor)</t>
  </si>
  <si>
    <t>GLOBAL_VISION_POSITION_ESTIMATE</t>
  </si>
  <si>
    <t>VISION_POSITION_ESTIMATE</t>
  </si>
  <si>
    <t>VISION_SPEED_ESTIMATE</t>
  </si>
  <si>
    <t>VICON_POSITION_ESTIMATE</t>
  </si>
  <si>
    <t>MEMORY_VECT</t>
  </si>
  <si>
    <t>Send raw controller memory. The use of this message is discouraged for normal packets, but a quite efficient way for testing new messages and getting experimental debug output.</t>
  </si>
  <si>
    <t>DEBUG_VECT</t>
  </si>
  <si>
    <t>NAMED_VALUE_FLOAT</t>
  </si>
  <si>
    <t>NAMED_VALUE_INT</t>
  </si>
  <si>
    <t>Send a key-value pair as float. The use of this message is discouraged for normal packets, but a quite efficient way for testing new messages and getting experimental debug output.</t>
  </si>
  <si>
    <t>Send a key-value pair as integer. The use of this message is discouraged for normal packets, but a quite efficient way for testing new messages and getting experimental debug output.</t>
  </si>
  <si>
    <t>Status text message. These messages are printed in yellow in the COMM console of QGroundControl. WARNING: They consume quite some bandwidth, so use only for important status and error messages. If implemented wisely, these messages are buffered on the MCU and sent only at a limited rate (e.g. 10 Hz).</t>
  </si>
  <si>
    <t>DEBUG</t>
  </si>
  <si>
    <t>EXTENDED_MESSAGE</t>
  </si>
  <si>
    <t>Send a debug value. The index is used to discriminate between values. These values show up in the plot of QGroundControl as DEBUG N.</t>
  </si>
  <si>
    <t>Extended message spacer.</t>
  </si>
  <si>
    <t>Transmit</t>
  </si>
  <si>
    <t>Receive</t>
  </si>
  <si>
    <t>Status</t>
  </si>
  <si>
    <t>CNLD</t>
  </si>
  <si>
    <t>AWM</t>
  </si>
  <si>
    <t>INW</t>
  </si>
  <si>
    <t>DONE</t>
  </si>
  <si>
    <t>MavLink Type Enumerations:</t>
  </si>
  <si>
    <t>MAVLink Messages:</t>
  </si>
  <si>
    <t>HOLD</t>
  </si>
  <si>
    <t>Report status of a command. Includes feedback wether the command was executed</t>
  </si>
  <si>
    <t>Custom Component</t>
  </si>
  <si>
    <t>CUSTOM_COMPONENT_1</t>
  </si>
  <si>
    <t>CUSTOM_COMPONENT_2</t>
  </si>
  <si>
    <t>CUSTOM_COMPONENT_3</t>
  </si>
  <si>
    <t>Type</t>
  </si>
  <si>
    <t>Sensors</t>
  </si>
  <si>
    <t>Actuators</t>
  </si>
  <si>
    <t>Command</t>
  </si>
  <si>
    <t>Navigation</t>
  </si>
  <si>
    <t>Communication</t>
  </si>
  <si>
    <t>EXTENDED_STATUS</t>
  </si>
  <si>
    <t>MEMORY_INFO</t>
  </si>
  <si>
    <t>System Available Memory</t>
  </si>
  <si>
    <t>STATUS_TEXT</t>
  </si>
  <si>
    <t>WAYPOINT_CURRENT</t>
  </si>
  <si>
    <t>WAYPOINT_REQUEST_LIST</t>
  </si>
  <si>
    <t>MAV_MODE_ADVANCED_HOVER</t>
  </si>
  <si>
    <t>MAV_MODE_CRUISE</t>
  </si>
  <si>
    <t>MAV_MODE_SUPER_CRUISE</t>
  </si>
  <si>
    <t>APM Status</t>
  </si>
  <si>
    <t>Quickstart Status</t>
  </si>
  <si>
    <t>HRT</t>
  </si>
  <si>
    <t>SRV</t>
  </si>
  <si>
    <t>TIM</t>
  </si>
  <si>
    <t>Units</t>
  </si>
  <si>
    <t>Network</t>
  </si>
  <si>
    <t>Servo</t>
  </si>
  <si>
    <t>Information</t>
  </si>
  <si>
    <t>ULT</t>
  </si>
  <si>
    <t>INF</t>
  </si>
  <si>
    <t>ERR</t>
  </si>
  <si>
    <t>Comments</t>
  </si>
  <si>
    <t>Max Heartbeat ID is 999999999</t>
  </si>
  <si>
    <t>Max Time Message is 999999999</t>
  </si>
  <si>
    <t>QRY</t>
  </si>
  <si>
    <t>Heartbeat</t>
  </si>
  <si>
    <t>Servo Command</t>
  </si>
  <si>
    <t>Time</t>
  </si>
  <si>
    <t>Ultrasonic Sensors</t>
  </si>
  <si>
    <t>Error Condition</t>
  </si>
  <si>
    <t>Status Query</t>
  </si>
  <si>
    <t>Values in milli-Seconds, PWM</t>
  </si>
  <si>
    <t>Values in inches</t>
  </si>
  <si>
    <t>Max value (text) length is 50 characters.</t>
  </si>
  <si>
    <t>Error Codes.  See Software Documentation.</t>
  </si>
  <si>
    <t>TAKEOFF</t>
  </si>
  <si>
    <t>HOVER</t>
  </si>
  <si>
    <t>LAND</t>
  </si>
  <si>
    <t>CRUISE</t>
  </si>
  <si>
    <t>RESET</t>
  </si>
  <si>
    <t>BOOT</t>
  </si>
  <si>
    <t>Control</t>
  </si>
  <si>
    <t>OFF</t>
  </si>
  <si>
    <t>Primary Controller</t>
  </si>
  <si>
    <t>XMIT: GCS</t>
  </si>
  <si>
    <t>RCV: GCS</t>
  </si>
  <si>
    <t>XMIT: Remote</t>
  </si>
  <si>
    <t>RCV: Remote</t>
  </si>
  <si>
    <t>Protocol</t>
  </si>
  <si>
    <t>Message</t>
  </si>
  <si>
    <t>NMEA 0183</t>
  </si>
  <si>
    <t>N/A</t>
  </si>
  <si>
    <t>ICARUS</t>
  </si>
  <si>
    <t>MAVLINK</t>
  </si>
  <si>
    <t>Reference</t>
  </si>
  <si>
    <t>GPRMC</t>
  </si>
  <si>
    <t>GPGGA</t>
  </si>
  <si>
    <t>GPVTG</t>
  </si>
  <si>
    <t>https://pixhawk.ethz.ch/mavlink/#HEARTBEAT</t>
  </si>
  <si>
    <t>https://pixhawk.ethz.ch/mavlink/#SET_ROLL_PITCH_YAW_THRUST</t>
  </si>
  <si>
    <t>https://pixhawk.ethz.ch/mavlink/#GLOBAL_POSITION_INT</t>
  </si>
  <si>
    <t>https://pixhawk.ethz.ch/mavlink/#ATTITUDE</t>
  </si>
  <si>
    <t>https://pixhawk.ethz.ch/mavlink/#RC_CHANNELS_OVERRIDE</t>
  </si>
  <si>
    <t>D_SET_NAV_MODE</t>
  </si>
  <si>
    <t>SET_MAG_OFFSETS</t>
  </si>
  <si>
    <t>DIGICAM_CONFIGURE</t>
  </si>
  <si>
    <t>DIGICAM_CONTROL</t>
  </si>
  <si>
    <t>MOUNT_CONFIGURE</t>
  </si>
  <si>
    <t>MOUNT_CONTROL</t>
  </si>
  <si>
    <t>MOUNT_STATUS</t>
  </si>
  <si>
    <t>RADIO</t>
  </si>
  <si>
    <t>FENCE_POINT</t>
  </si>
  <si>
    <t>FENCE_FETCH_POINT</t>
  </si>
  <si>
    <t>https://pixhawk.ethz.ch/mavlink/#REQUEST_DATA_STREAM</t>
  </si>
  <si>
    <t>https://pixhawk.ethz.ch/mavlink/#COMMAND_LONG</t>
  </si>
  <si>
    <t>https://pixhawk.ethz.ch/mavlink/#SET_MODE</t>
  </si>
  <si>
    <t>https://pixhawk.ethz.ch/mavlink/#MISSION_REQUEST_LIST</t>
  </si>
  <si>
    <t>https://pixhawk.ethz.ch/mavlink/#MISSION_REQUEST</t>
  </si>
  <si>
    <t>https://pixhawk.ethz.ch/mavlink/#MISSION_CLEAR_ALL</t>
  </si>
  <si>
    <t>https://pixhawk.ethz.ch/mavlink/#MISSION_SET_CURRENT</t>
  </si>
  <si>
    <t>https://pixhawk.ethz.ch/mavlink/#MISSION_COUNT</t>
  </si>
  <si>
    <t>https://pixhawk.ethz.ch/mavlink/#MISSION_WRITE_PARTIAL_LIST</t>
  </si>
  <si>
    <t>https://pixhawk.ethz.ch/mavlink/#MISSION_ITEM</t>
  </si>
  <si>
    <t>https://pixhawk.ethz.ch/mavlink/#PARAM_SET</t>
  </si>
  <si>
    <t>Other</t>
  </si>
  <si>
    <t>https://pixhawk.ethz.ch/mavlink/#HIL_STATE</t>
  </si>
  <si>
    <t>Motion Controller</t>
  </si>
  <si>
    <t>Sub-Message</t>
  </si>
  <si>
    <t>NET</t>
  </si>
  <si>
    <t>HRTBT</t>
  </si>
  <si>
    <t>CON</t>
  </si>
  <si>
    <t>MODE</t>
  </si>
  <si>
    <t>STA</t>
  </si>
  <si>
    <t>STATE</t>
  </si>
  <si>
    <t>CAM</t>
  </si>
  <si>
    <t>DIST</t>
  </si>
  <si>
    <t>Serial Baud Rate (bps):</t>
  </si>
  <si>
    <t>Max Length (digits)</t>
  </si>
  <si>
    <t>SEN</t>
  </si>
  <si>
    <t>Max Length (bits)</t>
  </si>
  <si>
    <t>MOT</t>
  </si>
  <si>
    <t>Max Update Speed (Hz)</t>
  </si>
  <si>
    <t>GPS Baud Rate (bps):</t>
  </si>
  <si>
    <t>XMIT: PC</t>
  </si>
  <si>
    <t>RCV: PC</t>
  </si>
  <si>
    <t>XMIT: FC</t>
  </si>
  <si>
    <t>RCV: FC</t>
  </si>
  <si>
    <t>XMIT: FC GPS</t>
  </si>
  <si>
    <t>RCV: FC GPS</t>
  </si>
  <si>
    <t>XMIT: MC</t>
  </si>
  <si>
    <t>RCV: MC</t>
  </si>
  <si>
    <t>XMIT: LC</t>
  </si>
  <si>
    <t>RCV: LC</t>
  </si>
  <si>
    <t>CAL</t>
  </si>
  <si>
    <t>ARMED</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</si>
</sst>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sz val="11"/>
      <color theme="1"/>
      <name val="Calibri"/>
      <family val="2"/>
      <scheme val="minor"/>
    </font>
    <font>
      <b/>
      <sz val="11"/>
      <color theme="1"/>
      <name val="Calibri"/>
      <family val="2"/>
      <scheme val="minor"/>
    </font>
    <font>
      <b/>
      <i/>
      <sz val="12"/>
      <color theme="1"/>
      <name val="Calibri"/>
      <family val="2"/>
      <scheme val="minor"/>
    </font>
    <font>
      <sz val="12"/>
      <color theme="1"/>
      <name val="Calibri"/>
      <family val="2"/>
      <scheme val="minor"/>
    </font>
    <font>
      <b/>
      <sz val="16"/>
      <color theme="1"/>
      <name val="Calibri"/>
      <family val="2"/>
      <scheme val="minor"/>
    </font>
    <font>
      <b/>
      <i/>
      <sz val="10"/>
      <color theme="1"/>
      <name val="Calibri"/>
      <family val="2"/>
      <scheme val="minor"/>
    </font>
    <font>
      <u/>
      <sz val="11"/>
      <color theme="10"/>
      <name val="Calibri"/>
      <family val="2"/>
      <scheme val="minor"/>
    </font>
    <font>
      <b/>
      <sz val="10"/>
      <color theme="1"/>
      <name val="Calibri"/>
      <family val="2"/>
      <scheme val="minor"/>
    </font>
    <font>
      <u/>
      <sz val="10"/>
      <color theme="10"/>
      <name val="Calibri"/>
      <family val="2"/>
      <scheme val="minor"/>
    </font>
    <font>
      <sz val="10"/>
      <color theme="1"/>
      <name val="Calibri"/>
      <family val="2"/>
      <scheme val="minor"/>
    </font>
    <font>
      <sz val="9"/>
      <color indexed="81"/>
      <name val="Tahoma"/>
      <family val="2"/>
    </font>
    <font>
      <sz val="12"/>
      <color theme="0"/>
      <name val="Calibri"/>
      <family val="2"/>
      <scheme val="minor"/>
    </font>
    <font>
      <sz val="16"/>
      <color theme="1"/>
      <name val="Calibri"/>
      <family val="2"/>
      <scheme val="minor"/>
    </font>
    <font>
      <sz val="16"/>
      <color theme="0"/>
      <name val="Calibri"/>
      <family val="2"/>
      <scheme val="minor"/>
    </font>
    <font>
      <b/>
      <i/>
      <sz val="12"/>
      <color theme="0"/>
      <name val="Calibri"/>
      <family val="2"/>
      <scheme val="minor"/>
    </font>
  </fonts>
  <fills count="3">
    <fill>
      <patternFill patternType="none"/>
    </fill>
    <fill>
      <patternFill patternType="gray125"/>
    </fill>
    <fill>
      <patternFill patternType="solid">
        <fgColor rgb="FFFFFF00"/>
        <bgColor indexed="64"/>
      </patternFill>
    </fill>
  </fills>
  <borders count="12">
    <border>
      <left/>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3">
    <xf numFmtId="0" fontId="0" fillId="0" borderId="0"/>
    <xf numFmtId="0" fontId="7" fillId="0" borderId="0" applyNumberFormat="0" applyFill="0" applyBorder="0" applyAlignment="0" applyProtection="0"/>
    <xf numFmtId="9" fontId="1" fillId="0" borderId="0" applyFont="0" applyFill="0" applyBorder="0" applyAlignment="0" applyProtection="0"/>
  </cellStyleXfs>
  <cellXfs count="52">
    <xf numFmtId="0" fontId="0" fillId="0" borderId="0" xfId="0"/>
    <xf numFmtId="0" fontId="0" fillId="0" borderId="0" xfId="0" applyAlignment="1">
      <alignment wrapText="1"/>
    </xf>
    <xf numFmtId="0" fontId="3" fillId="0" borderId="0" xfId="0" applyFont="1"/>
    <xf numFmtId="0" fontId="3" fillId="0" borderId="0" xfId="0" applyFont="1" applyAlignment="1">
      <alignment wrapText="1"/>
    </xf>
    <xf numFmtId="0" fontId="2" fillId="0" borderId="0" xfId="0" applyFont="1"/>
    <xf numFmtId="10" fontId="1" fillId="0" borderId="0" xfId="2" applyNumberFormat="1" applyFont="1"/>
    <xf numFmtId="0" fontId="0" fillId="0" borderId="0" xfId="0" applyAlignment="1">
      <alignment horizontal="center" vertical="center"/>
    </xf>
    <xf numFmtId="0" fontId="3" fillId="0" borderId="0" xfId="0" applyFont="1" applyAlignment="1">
      <alignment horizontal="left" vertical="center"/>
    </xf>
    <xf numFmtId="0" fontId="0" fillId="2" borderId="0" xfId="0" applyFill="1"/>
    <xf numFmtId="0" fontId="3" fillId="0" borderId="0" xfId="0" applyFont="1" applyAlignment="1">
      <alignment horizontal="center" vertical="center"/>
    </xf>
    <xf numFmtId="0" fontId="0" fillId="0" borderId="0" xfId="0" applyAlignment="1">
      <alignment horizontal="center"/>
    </xf>
    <xf numFmtId="0" fontId="0" fillId="0" borderId="0" xfId="0" applyAlignment="1">
      <alignment horizontal="left"/>
    </xf>
    <xf numFmtId="0" fontId="0" fillId="0" borderId="0" xfId="0" applyAlignment="1">
      <alignment horizontal="left" vertical="center"/>
    </xf>
    <xf numFmtId="0" fontId="0" fillId="0" borderId="0" xfId="0" applyAlignment="1">
      <alignment horizontal="left" wrapText="1"/>
    </xf>
    <xf numFmtId="0" fontId="3" fillId="0" borderId="0" xfId="0" applyFont="1" applyAlignment="1">
      <alignment horizontal="left" wrapText="1"/>
    </xf>
    <xf numFmtId="0" fontId="3" fillId="0" borderId="0" xfId="0" applyFont="1" applyAlignment="1">
      <alignment horizontal="center" vertical="center" wrapText="1"/>
    </xf>
    <xf numFmtId="0" fontId="4" fillId="0" borderId="0" xfId="0" applyFont="1"/>
    <xf numFmtId="0" fontId="4" fillId="0" borderId="0" xfId="0" applyFont="1" applyAlignment="1">
      <alignment horizontal="center" vertical="center"/>
    </xf>
    <xf numFmtId="0" fontId="5" fillId="0" borderId="0" xfId="0" applyFont="1"/>
    <xf numFmtId="0" fontId="4" fillId="0" borderId="0" xfId="0" applyFont="1" applyBorder="1" applyAlignment="1">
      <alignment horizontal="center" vertical="center"/>
    </xf>
    <xf numFmtId="0" fontId="4" fillId="0" borderId="0" xfId="0" applyFont="1" applyBorder="1" applyAlignment="1">
      <alignment horizontal="center" vertical="center" wrapText="1"/>
    </xf>
    <xf numFmtId="0" fontId="4" fillId="0" borderId="3" xfId="0" applyFont="1" applyBorder="1" applyAlignment="1">
      <alignment horizontal="center" vertical="center"/>
    </xf>
    <xf numFmtId="0" fontId="5" fillId="0" borderId="0" xfId="0" applyFont="1" applyAlignment="1">
      <alignment horizontal="center" vertical="center"/>
    </xf>
    <xf numFmtId="0" fontId="4" fillId="0" borderId="0" xfId="0" applyFont="1" applyAlignment="1">
      <alignment horizontal="left" vertical="center"/>
    </xf>
    <xf numFmtId="0" fontId="8" fillId="0" borderId="0" xfId="0" applyFont="1"/>
    <xf numFmtId="0" fontId="9" fillId="0" borderId="0" xfId="1" applyFont="1"/>
    <xf numFmtId="0" fontId="10" fillId="0" borderId="0" xfId="0" applyFont="1"/>
    <xf numFmtId="0" fontId="13" fillId="0" borderId="0" xfId="0" applyFont="1"/>
    <xf numFmtId="0" fontId="13" fillId="0" borderId="0" xfId="0" applyFont="1" applyAlignment="1">
      <alignment horizontal="left"/>
    </xf>
    <xf numFmtId="0" fontId="14" fillId="0" borderId="0" xfId="0" applyFont="1"/>
    <xf numFmtId="0" fontId="15" fillId="0" borderId="0" xfId="0" applyFont="1" applyAlignment="1">
      <alignment horizontal="center" vertical="center" wrapText="1"/>
    </xf>
    <xf numFmtId="1" fontId="12" fillId="0" borderId="0" xfId="0" applyNumberFormat="1" applyFont="1"/>
    <xf numFmtId="0" fontId="12" fillId="0" borderId="0" xfId="0" applyFont="1"/>
    <xf numFmtId="0" fontId="2" fillId="0" borderId="0" xfId="0" applyFont="1" applyAlignment="1">
      <alignment horizontal="center"/>
    </xf>
    <xf numFmtId="0" fontId="3" fillId="0" borderId="0" xfId="0" applyFont="1" applyAlignment="1">
      <alignment horizontal="center" vertical="center"/>
    </xf>
    <xf numFmtId="0" fontId="6" fillId="0" borderId="5" xfId="0" applyFont="1" applyBorder="1" applyAlignment="1">
      <alignment horizontal="center" vertical="center" wrapText="1"/>
    </xf>
    <xf numFmtId="0" fontId="6" fillId="0" borderId="6" xfId="0" applyFont="1" applyBorder="1" applyAlignment="1">
      <alignment horizontal="center" vertical="center" wrapText="1"/>
    </xf>
    <xf numFmtId="0" fontId="6" fillId="0" borderId="7" xfId="0" applyFont="1" applyBorder="1" applyAlignment="1">
      <alignment horizontal="center" vertical="center" wrapText="1"/>
    </xf>
    <xf numFmtId="0" fontId="4" fillId="0" borderId="4" xfId="0" applyFont="1" applyBorder="1" applyAlignment="1">
      <alignment horizontal="center" vertical="center"/>
    </xf>
    <xf numFmtId="0" fontId="4" fillId="0" borderId="1" xfId="0" applyFont="1" applyBorder="1" applyAlignment="1">
      <alignment horizontal="center" vertical="center"/>
    </xf>
    <xf numFmtId="0" fontId="4" fillId="0" borderId="2" xfId="0" applyFont="1" applyBorder="1" applyAlignment="1">
      <alignment horizontal="center" vertical="center"/>
    </xf>
    <xf numFmtId="0" fontId="4" fillId="0" borderId="8" xfId="0" applyFont="1" applyBorder="1" applyAlignment="1">
      <alignment horizontal="center" vertical="center"/>
    </xf>
    <xf numFmtId="0" fontId="4" fillId="0" borderId="5" xfId="0" applyFont="1" applyBorder="1" applyAlignment="1">
      <alignment horizontal="center" vertical="center"/>
    </xf>
    <xf numFmtId="0" fontId="4" fillId="0" borderId="6" xfId="0" applyFont="1" applyBorder="1" applyAlignment="1">
      <alignment horizontal="center" vertical="center"/>
    </xf>
    <xf numFmtId="0" fontId="4" fillId="0" borderId="1" xfId="0" applyFont="1" applyBorder="1" applyAlignment="1">
      <alignment horizontal="center" vertical="center" wrapText="1"/>
    </xf>
    <xf numFmtId="0" fontId="4" fillId="0" borderId="6" xfId="0" applyFont="1" applyBorder="1" applyAlignment="1">
      <alignment horizontal="center" vertical="center" wrapText="1"/>
    </xf>
    <xf numFmtId="0" fontId="5" fillId="0" borderId="9" xfId="0" applyFont="1" applyBorder="1" applyAlignment="1">
      <alignment horizontal="center"/>
    </xf>
    <xf numFmtId="0" fontId="5" fillId="0" borderId="10" xfId="0" applyFont="1" applyBorder="1" applyAlignment="1">
      <alignment horizontal="center"/>
    </xf>
    <xf numFmtId="0" fontId="5" fillId="0" borderId="11" xfId="0" applyFont="1" applyBorder="1" applyAlignment="1">
      <alignment horizontal="center"/>
    </xf>
    <xf numFmtId="0" fontId="5" fillId="0" borderId="9" xfId="0" applyFont="1" applyBorder="1" applyAlignment="1">
      <alignment horizontal="center" vertical="center"/>
    </xf>
    <xf numFmtId="0" fontId="5" fillId="0" borderId="10" xfId="0" applyFont="1" applyBorder="1" applyAlignment="1">
      <alignment horizontal="center" vertical="center"/>
    </xf>
    <xf numFmtId="0" fontId="5" fillId="0" borderId="11" xfId="0" applyFont="1" applyBorder="1" applyAlignment="1">
      <alignment horizontal="center" vertical="center"/>
    </xf>
  </cellXfs>
  <cellStyles count="3">
    <cellStyle name="Hyperlink" xfId="1" builtinId="8"/>
    <cellStyle name="Normal" xfId="0" builtinId="0"/>
    <cellStyle name="Percent" xfId="2" builtinId="5"/>
  </cellStyles>
  <dxfs count="82">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ill>
        <patternFill>
          <bgColor rgb="FF00FF00"/>
        </patternFill>
      </fill>
    </dxf>
    <dxf>
      <fill>
        <patternFill>
          <bgColor theme="1"/>
        </patternFill>
      </fill>
    </dxf>
    <dxf>
      <fill>
        <patternFill>
          <bgColor rgb="FFFF0000"/>
        </patternFill>
      </fill>
    </dxf>
    <dxf>
      <fill>
        <patternFill>
          <bgColor rgb="FFFFC000"/>
        </patternFill>
      </fill>
    </dxf>
    <dxf>
      <fill>
        <patternFill>
          <bgColor rgb="FFFFFF00"/>
        </patternFill>
      </fill>
    </dxf>
    <dxf>
      <fill>
        <patternFill>
          <bgColor theme="1"/>
        </patternFill>
      </fill>
    </dxf>
    <dxf>
      <fill>
        <patternFill>
          <bgColor rgb="FF00FF00"/>
        </patternFill>
      </fill>
    </dxf>
    <dxf>
      <fill>
        <patternFill>
          <bgColor rgb="FFFFC000"/>
        </patternFill>
      </fill>
    </dxf>
    <dxf>
      <fill>
        <patternFill>
          <bgColor theme="1"/>
        </patternFill>
      </fill>
    </dxf>
    <dxf>
      <fill>
        <patternFill>
          <bgColor rgb="FF00FF00"/>
        </patternFill>
      </fill>
    </dxf>
    <dxf>
      <fill>
        <patternFill>
          <bgColor rgb="FFFFC000"/>
        </patternFill>
      </fill>
    </dxf>
    <dxf>
      <font>
        <color theme="1"/>
      </font>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
      <font>
        <color theme="0"/>
      </font>
      <fill>
        <patternFill>
          <bgColor theme="1"/>
        </patternFill>
      </fill>
    </dxf>
    <dxf>
      <fill>
        <patternFill>
          <bgColor rgb="FFFFFF00"/>
        </patternFill>
      </fill>
    </dxf>
    <dxf>
      <fill>
        <patternFill>
          <bgColor rgb="FFFFC000"/>
        </patternFill>
      </fill>
    </dxf>
    <dxf>
      <fill>
        <patternFill>
          <bgColor rgb="FF00FF0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pixhawk.ethz.ch/mavlink/" TargetMode="External"/><Relationship Id="rId13" Type="http://schemas.openxmlformats.org/officeDocument/2006/relationships/hyperlink" Target="https://pixhawk.ethz.ch/mavlink/" TargetMode="External"/><Relationship Id="rId18" Type="http://schemas.openxmlformats.org/officeDocument/2006/relationships/hyperlink" Target="https://pixhawk.ethz.ch/mavlink/" TargetMode="External"/><Relationship Id="rId3" Type="http://schemas.openxmlformats.org/officeDocument/2006/relationships/hyperlink" Target="https://pixhawk.ethz.ch/mavlink/" TargetMode="External"/><Relationship Id="rId21" Type="http://schemas.openxmlformats.org/officeDocument/2006/relationships/printerSettings" Target="../printerSettings/printerSettings1.bin"/><Relationship Id="rId7" Type="http://schemas.openxmlformats.org/officeDocument/2006/relationships/hyperlink" Target="https://pixhawk.ethz.ch/mavlink/" TargetMode="External"/><Relationship Id="rId12" Type="http://schemas.openxmlformats.org/officeDocument/2006/relationships/hyperlink" Target="https://pixhawk.ethz.ch/mavlink/" TargetMode="External"/><Relationship Id="rId17" Type="http://schemas.openxmlformats.org/officeDocument/2006/relationships/hyperlink" Target="https://pixhawk.ethz.ch/mavlink/" TargetMode="External"/><Relationship Id="rId2" Type="http://schemas.openxmlformats.org/officeDocument/2006/relationships/hyperlink" Target="https://pixhawk.ethz.ch/mavlink/" TargetMode="External"/><Relationship Id="rId16" Type="http://schemas.openxmlformats.org/officeDocument/2006/relationships/hyperlink" Target="https://pixhawk.ethz.ch/mavlink/" TargetMode="External"/><Relationship Id="rId20" Type="http://schemas.openxmlformats.org/officeDocument/2006/relationships/hyperlink" Target="https://pixhawk.ethz.ch/mavlink/" TargetMode="External"/><Relationship Id="rId1" Type="http://schemas.openxmlformats.org/officeDocument/2006/relationships/hyperlink" Target="https://pixhawk.ethz.ch/mavlink/" TargetMode="External"/><Relationship Id="rId6" Type="http://schemas.openxmlformats.org/officeDocument/2006/relationships/hyperlink" Target="https://pixhawk.ethz.ch/mavlink/" TargetMode="External"/><Relationship Id="rId11" Type="http://schemas.openxmlformats.org/officeDocument/2006/relationships/hyperlink" Target="https://pixhawk.ethz.ch/mavlink/" TargetMode="External"/><Relationship Id="rId5" Type="http://schemas.openxmlformats.org/officeDocument/2006/relationships/hyperlink" Target="https://pixhawk.ethz.ch/mavlink/" TargetMode="External"/><Relationship Id="rId15" Type="http://schemas.openxmlformats.org/officeDocument/2006/relationships/hyperlink" Target="https://pixhawk.ethz.ch/mavlink/" TargetMode="External"/><Relationship Id="rId23" Type="http://schemas.openxmlformats.org/officeDocument/2006/relationships/comments" Target="../comments1.xml"/><Relationship Id="rId10" Type="http://schemas.openxmlformats.org/officeDocument/2006/relationships/hyperlink" Target="https://pixhawk.ethz.ch/mavlink/" TargetMode="External"/><Relationship Id="rId19" Type="http://schemas.openxmlformats.org/officeDocument/2006/relationships/hyperlink" Target="https://pixhawk.ethz.ch/mavlink/" TargetMode="External"/><Relationship Id="rId4" Type="http://schemas.openxmlformats.org/officeDocument/2006/relationships/hyperlink" Target="https://pixhawk.ethz.ch/mavlink/" TargetMode="External"/><Relationship Id="rId9" Type="http://schemas.openxmlformats.org/officeDocument/2006/relationships/hyperlink" Target="https://pixhawk.ethz.ch/mavlink/" TargetMode="External"/><Relationship Id="rId14" Type="http://schemas.openxmlformats.org/officeDocument/2006/relationships/hyperlink" Target="https://pixhawk.ethz.ch/mavlink/" TargetMode="External"/><Relationship Id="rId2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filterMode="1"/>
  <dimension ref="A1:Y52"/>
  <sheetViews>
    <sheetView tabSelected="1" zoomScale="70" zoomScaleNormal="70" workbookViewId="0">
      <pane xSplit="9" ySplit="2" topLeftCell="N3" activePane="bottomRight" state="frozen"/>
      <selection pane="topRight" activeCell="F1" sqref="F1"/>
      <selection pane="bottomLeft" activeCell="A3" sqref="A3"/>
      <selection pane="bottomRight" activeCell="R16" sqref="R16"/>
    </sheetView>
  </sheetViews>
  <sheetFormatPr defaultColWidth="9.125" defaultRowHeight="15"/>
  <cols>
    <col min="1" max="1" width="14.375" style="16" bestFit="1" customWidth="1"/>
    <col min="2" max="2" width="31.875" style="16" bestFit="1" customWidth="1"/>
    <col min="3" max="3" width="18.875" style="16" customWidth="1"/>
    <col min="4" max="4" width="27.25" style="16" hidden="1" customWidth="1"/>
    <col min="5" max="5" width="25" style="16" hidden="1" customWidth="1"/>
    <col min="6" max="6" width="28.875" style="32" hidden="1" customWidth="1"/>
    <col min="7" max="7" width="15.625" style="16" hidden="1" customWidth="1"/>
    <col min="8" max="8" width="8.375" style="17" hidden="1" customWidth="1"/>
    <col min="9" max="9" width="53" style="26" hidden="1" customWidth="1"/>
    <col min="10" max="12" width="14" style="19" hidden="1" customWidth="1"/>
    <col min="13" max="13" width="16" style="19" hidden="1" customWidth="1"/>
    <col min="14" max="14" width="17.625" style="19" customWidth="1"/>
    <col min="15" max="15" width="16.875" style="19" bestFit="1" customWidth="1"/>
    <col min="16" max="16" width="22.5" style="19" bestFit="1" customWidth="1"/>
    <col min="17" max="17" width="21.75" style="19" bestFit="1" customWidth="1"/>
    <col min="18" max="18" width="19" style="19" bestFit="1" customWidth="1"/>
    <col min="19" max="19" width="18.375" style="19" bestFit="1" customWidth="1"/>
    <col min="20" max="20" width="22.25" style="20" bestFit="1" customWidth="1"/>
    <col min="21" max="21" width="21.5" style="19" bestFit="1" customWidth="1"/>
    <col min="22" max="22" width="17.5" style="19" bestFit="1" customWidth="1"/>
    <col min="23" max="23" width="16.75" style="19" bestFit="1" customWidth="1"/>
    <col min="24" max="24" width="18.125" style="19" bestFit="1" customWidth="1"/>
    <col min="25" max="25" width="17.5" style="21" bestFit="1" customWidth="1"/>
    <col min="26" max="16384" width="9.125" style="16"/>
  </cols>
  <sheetData>
    <row r="1" spans="1:25" s="18" customFormat="1" ht="21" thickBot="1">
      <c r="A1" s="27"/>
      <c r="B1" s="27" t="s">
        <v>551</v>
      </c>
      <c r="C1" s="28">
        <v>115200</v>
      </c>
      <c r="D1" s="27" t="s">
        <v>557</v>
      </c>
      <c r="E1" s="28">
        <v>4800</v>
      </c>
      <c r="F1" s="29"/>
      <c r="H1" s="22"/>
      <c r="I1" s="24"/>
      <c r="J1" s="46" t="s">
        <v>541</v>
      </c>
      <c r="K1" s="47"/>
      <c r="L1" s="47"/>
      <c r="M1" s="48"/>
      <c r="N1" s="49" t="s">
        <v>498</v>
      </c>
      <c r="O1" s="50"/>
      <c r="P1" s="50"/>
      <c r="Q1" s="50"/>
      <c r="R1" s="50"/>
      <c r="S1" s="50"/>
      <c r="T1" s="50"/>
      <c r="U1" s="50"/>
      <c r="V1" s="50"/>
      <c r="W1" s="50"/>
      <c r="X1" s="50"/>
      <c r="Y1" s="51"/>
    </row>
    <row r="2" spans="1:25" s="15" customFormat="1" ht="28.5" customHeight="1" thickBot="1">
      <c r="A2" s="15" t="s">
        <v>503</v>
      </c>
      <c r="B2" s="15" t="s">
        <v>504</v>
      </c>
      <c r="C2" s="15" t="s">
        <v>542</v>
      </c>
      <c r="D2" s="15" t="s">
        <v>552</v>
      </c>
      <c r="E2" s="15" t="s">
        <v>554</v>
      </c>
      <c r="F2" s="30" t="s">
        <v>556</v>
      </c>
      <c r="G2" s="15" t="s">
        <v>449</v>
      </c>
      <c r="H2" s="15" t="s">
        <v>4</v>
      </c>
      <c r="I2" s="15" t="s">
        <v>509</v>
      </c>
      <c r="J2" s="35" t="s">
        <v>558</v>
      </c>
      <c r="K2" s="36" t="s">
        <v>559</v>
      </c>
      <c r="L2" s="36" t="s">
        <v>560</v>
      </c>
      <c r="M2" s="37" t="s">
        <v>561</v>
      </c>
      <c r="N2" s="35" t="s">
        <v>560</v>
      </c>
      <c r="O2" s="36" t="s">
        <v>561</v>
      </c>
      <c r="P2" s="36" t="s">
        <v>562</v>
      </c>
      <c r="Q2" s="36" t="s">
        <v>563</v>
      </c>
      <c r="R2" s="36" t="s">
        <v>499</v>
      </c>
      <c r="S2" s="36" t="s">
        <v>500</v>
      </c>
      <c r="T2" s="36" t="s">
        <v>501</v>
      </c>
      <c r="U2" s="36" t="s">
        <v>502</v>
      </c>
      <c r="V2" s="36" t="s">
        <v>566</v>
      </c>
      <c r="W2" s="36" t="s">
        <v>567</v>
      </c>
      <c r="X2" s="36" t="s">
        <v>564</v>
      </c>
      <c r="Y2" s="37" t="s">
        <v>565</v>
      </c>
    </row>
    <row r="3" spans="1:25" ht="15.75" hidden="1" thickBot="1">
      <c r="A3" s="16" t="s">
        <v>507</v>
      </c>
      <c r="B3" s="16" t="s">
        <v>568</v>
      </c>
      <c r="E3" s="16">
        <f t="shared" ref="E3:E13" si="0">1*8*D3</f>
        <v>0</v>
      </c>
      <c r="F3" s="31" t="e">
        <f t="shared" ref="F3:F13" si="1">C$1/E3</f>
        <v>#DIV/0!</v>
      </c>
      <c r="J3" s="19" t="s">
        <v>506</v>
      </c>
      <c r="K3" s="19" t="s">
        <v>506</v>
      </c>
      <c r="L3" s="19" t="s">
        <v>506</v>
      </c>
      <c r="M3" s="19" t="s">
        <v>506</v>
      </c>
      <c r="X3" s="19" t="s">
        <v>506</v>
      </c>
      <c r="Y3" s="21" t="s">
        <v>506</v>
      </c>
    </row>
    <row r="4" spans="1:25" ht="15.75" hidden="1" thickBot="1">
      <c r="A4" s="16" t="s">
        <v>507</v>
      </c>
      <c r="B4" s="16" t="s">
        <v>549</v>
      </c>
      <c r="C4" s="16" t="s">
        <v>550</v>
      </c>
      <c r="D4" s="16">
        <v>46</v>
      </c>
      <c r="E4" s="16">
        <f t="shared" si="0"/>
        <v>368</v>
      </c>
      <c r="F4" s="31">
        <f t="shared" si="1"/>
        <v>313.04347826086956</v>
      </c>
      <c r="J4" s="19" t="s">
        <v>506</v>
      </c>
      <c r="K4" s="19" t="s">
        <v>506</v>
      </c>
      <c r="L4" s="19" t="s">
        <v>506</v>
      </c>
      <c r="M4" s="19" t="s">
        <v>506</v>
      </c>
      <c r="N4" s="19" t="s">
        <v>506</v>
      </c>
      <c r="O4" s="19" t="s">
        <v>506</v>
      </c>
      <c r="P4" s="19" t="s">
        <v>506</v>
      </c>
      <c r="Q4" s="19" t="s">
        <v>506</v>
      </c>
      <c r="R4" s="19" t="s">
        <v>506</v>
      </c>
      <c r="S4" s="19" t="s">
        <v>506</v>
      </c>
      <c r="T4" s="20" t="s">
        <v>506</v>
      </c>
      <c r="U4" s="19" t="s">
        <v>506</v>
      </c>
      <c r="X4" s="19" t="s">
        <v>506</v>
      </c>
      <c r="Y4" s="21" t="s">
        <v>506</v>
      </c>
    </row>
    <row r="5" spans="1:25" ht="15.75" hidden="1" thickBot="1">
      <c r="A5" s="16" t="s">
        <v>507</v>
      </c>
      <c r="B5" s="16" t="s">
        <v>545</v>
      </c>
      <c r="C5" s="16" t="s">
        <v>546</v>
      </c>
      <c r="D5" s="16">
        <v>14</v>
      </c>
      <c r="E5" s="16">
        <f t="shared" si="0"/>
        <v>112</v>
      </c>
      <c r="F5" s="31">
        <f t="shared" si="1"/>
        <v>1028.5714285714287</v>
      </c>
      <c r="J5" s="19" t="s">
        <v>437</v>
      </c>
      <c r="K5" s="19" t="s">
        <v>437</v>
      </c>
      <c r="L5" s="19" t="s">
        <v>437</v>
      </c>
      <c r="M5" s="19" t="s">
        <v>437</v>
      </c>
      <c r="N5" s="19" t="s">
        <v>506</v>
      </c>
      <c r="O5" s="19" t="s">
        <v>506</v>
      </c>
      <c r="P5" s="19" t="s">
        <v>506</v>
      </c>
      <c r="Q5" s="19" t="s">
        <v>506</v>
      </c>
      <c r="R5" s="19" t="s">
        <v>506</v>
      </c>
      <c r="S5" s="19" t="s">
        <v>506</v>
      </c>
      <c r="T5" s="20" t="s">
        <v>506</v>
      </c>
      <c r="U5" s="19" t="s">
        <v>506</v>
      </c>
      <c r="X5" s="19" t="s">
        <v>506</v>
      </c>
      <c r="Y5" s="21" t="s">
        <v>506</v>
      </c>
    </row>
    <row r="6" spans="1:25" ht="15.75" hidden="1" thickBot="1">
      <c r="A6" s="16" t="s">
        <v>507</v>
      </c>
      <c r="B6" s="16" t="s">
        <v>475</v>
      </c>
      <c r="E6" s="16">
        <f t="shared" si="0"/>
        <v>0</v>
      </c>
      <c r="F6" s="31" t="e">
        <f t="shared" si="1"/>
        <v>#DIV/0!</v>
      </c>
      <c r="J6" s="19" t="s">
        <v>439</v>
      </c>
      <c r="K6" s="19" t="s">
        <v>438</v>
      </c>
      <c r="L6" s="19" t="s">
        <v>506</v>
      </c>
      <c r="M6" s="19" t="s">
        <v>506</v>
      </c>
      <c r="N6" s="19" t="s">
        <v>506</v>
      </c>
      <c r="O6" s="19" t="s">
        <v>506</v>
      </c>
      <c r="P6" s="19" t="s">
        <v>506</v>
      </c>
      <c r="Q6" s="19" t="s">
        <v>506</v>
      </c>
      <c r="R6" s="19" t="s">
        <v>506</v>
      </c>
      <c r="S6" s="19" t="s">
        <v>506</v>
      </c>
      <c r="T6" s="20" t="s">
        <v>506</v>
      </c>
      <c r="U6" s="19" t="s">
        <v>506</v>
      </c>
      <c r="X6" s="19" t="s">
        <v>438</v>
      </c>
      <c r="Y6" s="21" t="s">
        <v>438</v>
      </c>
    </row>
    <row r="7" spans="1:25" ht="15.75" hidden="1" thickBot="1">
      <c r="A7" s="16" t="s">
        <v>507</v>
      </c>
      <c r="B7" s="16" t="s">
        <v>474</v>
      </c>
      <c r="E7" s="16">
        <f t="shared" si="0"/>
        <v>0</v>
      </c>
      <c r="F7" s="31" t="e">
        <f t="shared" si="1"/>
        <v>#DIV/0!</v>
      </c>
      <c r="J7" s="19" t="s">
        <v>440</v>
      </c>
      <c r="K7" s="19" t="s">
        <v>440</v>
      </c>
      <c r="N7" s="19" t="s">
        <v>506</v>
      </c>
      <c r="O7" s="19" t="s">
        <v>506</v>
      </c>
      <c r="P7" s="19" t="s">
        <v>506</v>
      </c>
      <c r="Q7" s="19" t="s">
        <v>506</v>
      </c>
      <c r="R7" s="19" t="s">
        <v>506</v>
      </c>
      <c r="S7" s="19" t="s">
        <v>506</v>
      </c>
      <c r="T7" s="20" t="s">
        <v>506</v>
      </c>
      <c r="U7" s="19" t="s">
        <v>506</v>
      </c>
      <c r="X7" s="19" t="s">
        <v>438</v>
      </c>
      <c r="Y7" s="21" t="s">
        <v>438</v>
      </c>
    </row>
    <row r="8" spans="1:25" ht="15.75" hidden="1" thickBot="1">
      <c r="A8" s="16" t="s">
        <v>507</v>
      </c>
      <c r="B8" s="16" t="s">
        <v>555</v>
      </c>
      <c r="D8" s="16">
        <v>25</v>
      </c>
      <c r="E8" s="16">
        <f t="shared" si="0"/>
        <v>200</v>
      </c>
      <c r="F8" s="31">
        <f t="shared" si="1"/>
        <v>576</v>
      </c>
      <c r="J8" s="19" t="s">
        <v>506</v>
      </c>
      <c r="K8" s="19" t="s">
        <v>506</v>
      </c>
      <c r="L8" s="19" t="s">
        <v>506</v>
      </c>
      <c r="M8" s="19" t="s">
        <v>506</v>
      </c>
      <c r="N8" s="19" t="s">
        <v>506</v>
      </c>
      <c r="O8" s="19" t="s">
        <v>506</v>
      </c>
      <c r="P8" s="19" t="s">
        <v>506</v>
      </c>
      <c r="Q8" s="19" t="s">
        <v>506</v>
      </c>
      <c r="R8" s="19" t="s">
        <v>506</v>
      </c>
      <c r="S8" s="19" t="s">
        <v>506</v>
      </c>
      <c r="T8" s="20" t="s">
        <v>506</v>
      </c>
      <c r="U8" s="19" t="s">
        <v>506</v>
      </c>
      <c r="X8" s="19" t="s">
        <v>506</v>
      </c>
      <c r="Y8" s="21" t="s">
        <v>506</v>
      </c>
    </row>
    <row r="9" spans="1:25" ht="15.75" hidden="1" thickBot="1">
      <c r="A9" s="16" t="s">
        <v>507</v>
      </c>
      <c r="B9" s="16" t="s">
        <v>543</v>
      </c>
      <c r="C9" s="16" t="s">
        <v>544</v>
      </c>
      <c r="E9" s="16">
        <f t="shared" si="0"/>
        <v>0</v>
      </c>
      <c r="F9" s="31" t="e">
        <f t="shared" si="1"/>
        <v>#DIV/0!</v>
      </c>
      <c r="J9" s="19" t="s">
        <v>438</v>
      </c>
      <c r="K9" s="19" t="s">
        <v>440</v>
      </c>
      <c r="L9" s="19" t="s">
        <v>506</v>
      </c>
      <c r="M9" s="19" t="s">
        <v>506</v>
      </c>
      <c r="N9" s="19" t="s">
        <v>506</v>
      </c>
      <c r="O9" s="19" t="s">
        <v>506</v>
      </c>
      <c r="P9" s="19" t="s">
        <v>506</v>
      </c>
      <c r="Q9" s="19" t="s">
        <v>506</v>
      </c>
      <c r="R9" s="19" t="s">
        <v>506</v>
      </c>
      <c r="S9" s="19" t="s">
        <v>506</v>
      </c>
      <c r="T9" s="20" t="s">
        <v>506</v>
      </c>
      <c r="U9" s="19" t="s">
        <v>506</v>
      </c>
      <c r="X9" s="19" t="s">
        <v>438</v>
      </c>
      <c r="Y9" s="21" t="s">
        <v>438</v>
      </c>
    </row>
    <row r="10" spans="1:25" ht="15.75" hidden="1" thickBot="1">
      <c r="A10" s="16" t="s">
        <v>507</v>
      </c>
      <c r="B10" s="16" t="s">
        <v>553</v>
      </c>
      <c r="C10" s="16" t="s">
        <v>473</v>
      </c>
      <c r="D10" s="16">
        <v>33</v>
      </c>
      <c r="E10" s="16">
        <f t="shared" si="0"/>
        <v>264</v>
      </c>
      <c r="F10" s="31">
        <f t="shared" si="1"/>
        <v>436.36363636363637</v>
      </c>
      <c r="J10" s="19" t="s">
        <v>438</v>
      </c>
      <c r="K10" s="19" t="s">
        <v>506</v>
      </c>
      <c r="L10" s="19" t="s">
        <v>506</v>
      </c>
      <c r="M10" s="19" t="s">
        <v>506</v>
      </c>
      <c r="X10" s="19" t="s">
        <v>506</v>
      </c>
      <c r="Y10" s="21" t="s">
        <v>438</v>
      </c>
    </row>
    <row r="11" spans="1:25" ht="15.75" hidden="1" thickBot="1">
      <c r="A11" s="16" t="s">
        <v>507</v>
      </c>
      <c r="B11" s="16" t="s">
        <v>467</v>
      </c>
      <c r="E11" s="16">
        <f t="shared" si="0"/>
        <v>0</v>
      </c>
      <c r="F11" s="31" t="e">
        <f t="shared" si="1"/>
        <v>#DIV/0!</v>
      </c>
      <c r="J11" s="19" t="s">
        <v>506</v>
      </c>
      <c r="K11" s="19" t="s">
        <v>506</v>
      </c>
      <c r="L11" s="19" t="s">
        <v>506</v>
      </c>
      <c r="M11" s="19" t="s">
        <v>506</v>
      </c>
      <c r="N11" s="19" t="s">
        <v>506</v>
      </c>
      <c r="O11" s="19" t="s">
        <v>506</v>
      </c>
      <c r="P11" s="19" t="s">
        <v>506</v>
      </c>
      <c r="Q11" s="19" t="s">
        <v>506</v>
      </c>
      <c r="R11" s="19" t="s">
        <v>506</v>
      </c>
      <c r="S11" s="19" t="s">
        <v>506</v>
      </c>
      <c r="T11" s="20" t="s">
        <v>506</v>
      </c>
      <c r="U11" s="19" t="s">
        <v>506</v>
      </c>
      <c r="X11" s="19" t="s">
        <v>506</v>
      </c>
      <c r="Y11" s="21" t="s">
        <v>506</v>
      </c>
    </row>
    <row r="12" spans="1:25" ht="15.75" hidden="1" thickBot="1">
      <c r="A12" s="16" t="s">
        <v>507</v>
      </c>
      <c r="B12" s="16" t="s">
        <v>547</v>
      </c>
      <c r="C12" s="16" t="s">
        <v>569</v>
      </c>
      <c r="E12" s="16">
        <f t="shared" si="0"/>
        <v>0</v>
      </c>
      <c r="F12" s="31" t="e">
        <f t="shared" si="1"/>
        <v>#DIV/0!</v>
      </c>
      <c r="J12" s="19" t="s">
        <v>438</v>
      </c>
      <c r="K12" s="19" t="s">
        <v>506</v>
      </c>
      <c r="L12" s="19" t="s">
        <v>506</v>
      </c>
      <c r="M12" s="19" t="s">
        <v>506</v>
      </c>
      <c r="N12" s="19" t="s">
        <v>506</v>
      </c>
      <c r="O12" s="19" t="s">
        <v>506</v>
      </c>
      <c r="P12" s="19" t="s">
        <v>506</v>
      </c>
      <c r="Q12" s="19" t="s">
        <v>506</v>
      </c>
      <c r="R12" s="19" t="s">
        <v>506</v>
      </c>
      <c r="S12" s="19" t="s">
        <v>506</v>
      </c>
      <c r="T12" s="20" t="s">
        <v>506</v>
      </c>
      <c r="U12" s="19" t="s">
        <v>506</v>
      </c>
      <c r="X12" s="19" t="s">
        <v>506</v>
      </c>
      <c r="Y12" s="21" t="s">
        <v>438</v>
      </c>
    </row>
    <row r="13" spans="1:25" ht="15.75" hidden="1" thickBot="1">
      <c r="A13" s="16" t="s">
        <v>507</v>
      </c>
      <c r="B13" s="16" t="s">
        <v>547</v>
      </c>
      <c r="C13" s="16" t="s">
        <v>546</v>
      </c>
      <c r="E13" s="16">
        <f t="shared" si="0"/>
        <v>0</v>
      </c>
      <c r="F13" s="31" t="e">
        <f t="shared" si="1"/>
        <v>#DIV/0!</v>
      </c>
      <c r="J13" s="19" t="s">
        <v>438</v>
      </c>
      <c r="K13" s="19" t="s">
        <v>506</v>
      </c>
      <c r="L13" s="19" t="s">
        <v>506</v>
      </c>
      <c r="M13" s="19" t="s">
        <v>506</v>
      </c>
      <c r="N13" s="19" t="s">
        <v>506</v>
      </c>
      <c r="O13" s="19" t="s">
        <v>506</v>
      </c>
      <c r="P13" s="19" t="s">
        <v>506</v>
      </c>
      <c r="Q13" s="19" t="s">
        <v>506</v>
      </c>
      <c r="R13" s="19" t="s">
        <v>506</v>
      </c>
      <c r="S13" s="19" t="s">
        <v>506</v>
      </c>
      <c r="T13" s="20" t="s">
        <v>506</v>
      </c>
      <c r="U13" s="19" t="s">
        <v>506</v>
      </c>
      <c r="X13" s="19" t="s">
        <v>506</v>
      </c>
      <c r="Y13" s="21" t="s">
        <v>438</v>
      </c>
    </row>
    <row r="14" spans="1:25">
      <c r="A14" s="16" t="s">
        <v>508</v>
      </c>
      <c r="B14" s="16" t="s">
        <v>337</v>
      </c>
      <c r="C14" s="16" t="s">
        <v>506</v>
      </c>
      <c r="E14" s="16">
        <f>1*8*D14</f>
        <v>0</v>
      </c>
      <c r="F14" s="31" t="e">
        <f>C$1/E14</f>
        <v>#DIV/0!</v>
      </c>
      <c r="G14" s="16" t="s">
        <v>450</v>
      </c>
      <c r="H14" s="17">
        <v>30</v>
      </c>
      <c r="I14" s="25" t="s">
        <v>516</v>
      </c>
      <c r="J14" s="38" t="s">
        <v>506</v>
      </c>
      <c r="K14" s="39" t="s">
        <v>506</v>
      </c>
      <c r="L14" s="39" t="s">
        <v>506</v>
      </c>
      <c r="M14" s="40" t="s">
        <v>506</v>
      </c>
      <c r="N14" s="38" t="s">
        <v>506</v>
      </c>
      <c r="O14" s="39" t="s">
        <v>440</v>
      </c>
      <c r="P14" s="39" t="s">
        <v>506</v>
      </c>
      <c r="Q14" s="39" t="s">
        <v>506</v>
      </c>
      <c r="R14" s="39" t="s">
        <v>440</v>
      </c>
      <c r="S14" s="39" t="s">
        <v>506</v>
      </c>
      <c r="T14" s="44" t="s">
        <v>440</v>
      </c>
      <c r="U14" s="39" t="s">
        <v>506</v>
      </c>
      <c r="V14" s="39" t="s">
        <v>438</v>
      </c>
      <c r="W14" s="39"/>
      <c r="X14" s="39" t="s">
        <v>506</v>
      </c>
      <c r="Y14" s="40" t="s">
        <v>506</v>
      </c>
    </row>
    <row r="15" spans="1:25">
      <c r="A15" s="16" t="s">
        <v>508</v>
      </c>
      <c r="B15" s="23" t="s">
        <v>405</v>
      </c>
      <c r="C15" s="16" t="s">
        <v>506</v>
      </c>
      <c r="D15" s="23"/>
      <c r="E15" s="16">
        <f>1*8*D15</f>
        <v>0</v>
      </c>
      <c r="F15" s="31" t="e">
        <f>C$1/E15</f>
        <v>#DIV/0!</v>
      </c>
      <c r="G15" s="16" t="s">
        <v>452</v>
      </c>
      <c r="H15" s="17">
        <v>76</v>
      </c>
      <c r="I15" s="25" t="s">
        <v>529</v>
      </c>
      <c r="J15" s="41" t="s">
        <v>506</v>
      </c>
      <c r="K15" s="19" t="s">
        <v>506</v>
      </c>
      <c r="L15" s="19" t="s">
        <v>506</v>
      </c>
      <c r="M15" s="21" t="s">
        <v>506</v>
      </c>
      <c r="N15" s="41" t="s">
        <v>438</v>
      </c>
      <c r="O15" s="19" t="s">
        <v>506</v>
      </c>
      <c r="P15" s="19" t="s">
        <v>506</v>
      </c>
      <c r="Q15" s="19" t="s">
        <v>506</v>
      </c>
      <c r="R15" s="19" t="s">
        <v>506</v>
      </c>
      <c r="S15" s="19" t="s">
        <v>438</v>
      </c>
      <c r="X15" s="19" t="s">
        <v>506</v>
      </c>
      <c r="Y15" s="21" t="s">
        <v>506</v>
      </c>
    </row>
    <row r="16" spans="1:25">
      <c r="A16" s="16" t="s">
        <v>508</v>
      </c>
      <c r="B16" s="23" t="s">
        <v>518</v>
      </c>
      <c r="C16" s="16" t="s">
        <v>506</v>
      </c>
      <c r="D16" s="23"/>
      <c r="E16" s="16">
        <f>1*8*D16</f>
        <v>0</v>
      </c>
      <c r="F16" s="31" t="e">
        <f>C$1/E16</f>
        <v>#DIV/0!</v>
      </c>
      <c r="J16" s="41" t="s">
        <v>506</v>
      </c>
      <c r="K16" s="19" t="s">
        <v>506</v>
      </c>
      <c r="L16" s="19" t="s">
        <v>506</v>
      </c>
      <c r="M16" s="21" t="s">
        <v>506</v>
      </c>
      <c r="N16" s="41"/>
      <c r="P16" s="19" t="s">
        <v>506</v>
      </c>
      <c r="Q16" s="19" t="s">
        <v>506</v>
      </c>
      <c r="X16" s="19" t="s">
        <v>506</v>
      </c>
      <c r="Y16" s="21" t="s">
        <v>506</v>
      </c>
    </row>
    <row r="17" spans="1:25">
      <c r="A17" s="16" t="s">
        <v>508</v>
      </c>
      <c r="B17" s="23" t="s">
        <v>520</v>
      </c>
      <c r="C17" s="16" t="s">
        <v>506</v>
      </c>
      <c r="D17" s="23"/>
      <c r="E17" s="16">
        <f>1*8*D17</f>
        <v>0</v>
      </c>
      <c r="F17" s="31" t="e">
        <f>C$1/E17</f>
        <v>#DIV/0!</v>
      </c>
      <c r="J17" s="41" t="s">
        <v>506</v>
      </c>
      <c r="K17" s="19" t="s">
        <v>506</v>
      </c>
      <c r="L17" s="19" t="s">
        <v>506</v>
      </c>
      <c r="M17" s="21" t="s">
        <v>506</v>
      </c>
      <c r="N17" s="41" t="s">
        <v>506</v>
      </c>
      <c r="O17" s="19" t="s">
        <v>506</v>
      </c>
      <c r="P17" s="19" t="s">
        <v>506</v>
      </c>
      <c r="Q17" s="19" t="s">
        <v>506</v>
      </c>
      <c r="X17" s="19" t="s">
        <v>506</v>
      </c>
      <c r="Y17" s="21" t="s">
        <v>506</v>
      </c>
    </row>
    <row r="18" spans="1:25">
      <c r="A18" s="16" t="s">
        <v>508</v>
      </c>
      <c r="B18" s="23" t="s">
        <v>521</v>
      </c>
      <c r="C18" s="16" t="s">
        <v>506</v>
      </c>
      <c r="D18" s="23"/>
      <c r="E18" s="16">
        <f>1*8*D18</f>
        <v>0</v>
      </c>
      <c r="F18" s="31" t="e">
        <f>C$1/E18</f>
        <v>#DIV/0!</v>
      </c>
      <c r="J18" s="41" t="s">
        <v>506</v>
      </c>
      <c r="K18" s="19" t="s">
        <v>506</v>
      </c>
      <c r="L18" s="19" t="s">
        <v>506</v>
      </c>
      <c r="M18" s="21" t="s">
        <v>506</v>
      </c>
      <c r="N18" s="41" t="s">
        <v>506</v>
      </c>
      <c r="O18" s="19" t="s">
        <v>506</v>
      </c>
      <c r="P18" s="19" t="s">
        <v>506</v>
      </c>
      <c r="Q18" s="19" t="s">
        <v>506</v>
      </c>
      <c r="X18" s="19" t="s">
        <v>506</v>
      </c>
      <c r="Y18" s="21" t="s">
        <v>506</v>
      </c>
    </row>
    <row r="19" spans="1:25">
      <c r="A19" s="16" t="s">
        <v>508</v>
      </c>
      <c r="B19" s="23" t="s">
        <v>527</v>
      </c>
      <c r="C19" s="16" t="s">
        <v>506</v>
      </c>
      <c r="D19" s="23"/>
      <c r="E19" s="16">
        <f>1*8*D19</f>
        <v>0</v>
      </c>
      <c r="F19" s="31" t="e">
        <f>C$1/E19</f>
        <v>#DIV/0!</v>
      </c>
      <c r="J19" s="41" t="s">
        <v>506</v>
      </c>
      <c r="K19" s="19" t="s">
        <v>506</v>
      </c>
      <c r="L19" s="19" t="s">
        <v>506</v>
      </c>
      <c r="M19" s="21" t="s">
        <v>506</v>
      </c>
      <c r="N19" s="41" t="s">
        <v>506</v>
      </c>
      <c r="O19" s="19" t="s">
        <v>506</v>
      </c>
      <c r="P19" s="19" t="s">
        <v>506</v>
      </c>
      <c r="Q19" s="19" t="s">
        <v>506</v>
      </c>
      <c r="X19" s="19" t="s">
        <v>506</v>
      </c>
      <c r="Y19" s="21" t="s">
        <v>506</v>
      </c>
    </row>
    <row r="20" spans="1:25">
      <c r="A20" s="16" t="s">
        <v>508</v>
      </c>
      <c r="B20" s="23" t="s">
        <v>526</v>
      </c>
      <c r="C20" s="16" t="s">
        <v>506</v>
      </c>
      <c r="D20" s="23"/>
      <c r="E20" s="16">
        <f>1*8*D20</f>
        <v>0</v>
      </c>
      <c r="F20" s="31" t="e">
        <f>C$1/E20</f>
        <v>#DIV/0!</v>
      </c>
      <c r="J20" s="41" t="s">
        <v>506</v>
      </c>
      <c r="K20" s="19" t="s">
        <v>506</v>
      </c>
      <c r="L20" s="19" t="s">
        <v>506</v>
      </c>
      <c r="M20" s="21" t="s">
        <v>506</v>
      </c>
      <c r="N20" s="41" t="s">
        <v>506</v>
      </c>
      <c r="O20" s="19" t="s">
        <v>506</v>
      </c>
      <c r="P20" s="19" t="s">
        <v>506</v>
      </c>
      <c r="Q20" s="19" t="s">
        <v>506</v>
      </c>
      <c r="X20" s="19" t="s">
        <v>506</v>
      </c>
      <c r="Y20" s="21" t="s">
        <v>506</v>
      </c>
    </row>
    <row r="21" spans="1:25">
      <c r="A21" s="16" t="s">
        <v>508</v>
      </c>
      <c r="B21" s="16" t="s">
        <v>343</v>
      </c>
      <c r="C21" s="16" t="s">
        <v>506</v>
      </c>
      <c r="E21" s="16">
        <f>1*8*D21</f>
        <v>0</v>
      </c>
      <c r="F21" s="31" t="e">
        <f>C$1/E21</f>
        <v>#DIV/0!</v>
      </c>
      <c r="G21" s="16" t="s">
        <v>453</v>
      </c>
      <c r="H21" s="17">
        <v>33</v>
      </c>
      <c r="I21" s="25" t="s">
        <v>515</v>
      </c>
      <c r="J21" s="41" t="s">
        <v>506</v>
      </c>
      <c r="K21" s="19" t="s">
        <v>506</v>
      </c>
      <c r="L21" s="19" t="s">
        <v>506</v>
      </c>
      <c r="M21" s="21" t="s">
        <v>506</v>
      </c>
      <c r="N21" s="41" t="s">
        <v>506</v>
      </c>
      <c r="O21" s="19" t="s">
        <v>506</v>
      </c>
      <c r="P21" s="19" t="s">
        <v>506</v>
      </c>
      <c r="Q21" s="19" t="s">
        <v>506</v>
      </c>
      <c r="R21" s="19" t="s">
        <v>440</v>
      </c>
      <c r="S21" s="19" t="s">
        <v>506</v>
      </c>
      <c r="T21" s="20" t="s">
        <v>438</v>
      </c>
      <c r="U21" s="19" t="s">
        <v>506</v>
      </c>
      <c r="V21" s="19" t="s">
        <v>438</v>
      </c>
      <c r="X21" s="19" t="s">
        <v>506</v>
      </c>
      <c r="Y21" s="21" t="s">
        <v>506</v>
      </c>
    </row>
    <row r="22" spans="1:25">
      <c r="A22" s="16" t="s">
        <v>508</v>
      </c>
      <c r="B22" s="16" t="s">
        <v>303</v>
      </c>
      <c r="C22" s="16" t="s">
        <v>506</v>
      </c>
      <c r="E22" s="16">
        <f>1*8*D22</f>
        <v>0</v>
      </c>
      <c r="F22" s="31" t="e">
        <f>C$1/E22</f>
        <v>#DIV/0!</v>
      </c>
      <c r="G22" s="16" t="s">
        <v>454</v>
      </c>
      <c r="H22" s="17">
        <v>0</v>
      </c>
      <c r="I22" s="25" t="s">
        <v>513</v>
      </c>
      <c r="J22" s="41" t="s">
        <v>506</v>
      </c>
      <c r="K22" s="19" t="s">
        <v>506</v>
      </c>
      <c r="L22" s="19" t="s">
        <v>506</v>
      </c>
      <c r="M22" s="21" t="s">
        <v>506</v>
      </c>
      <c r="N22" s="41" t="s">
        <v>440</v>
      </c>
      <c r="O22" s="19" t="s">
        <v>440</v>
      </c>
      <c r="P22" s="19" t="s">
        <v>506</v>
      </c>
      <c r="Q22" s="19" t="s">
        <v>506</v>
      </c>
      <c r="R22" s="19" t="s">
        <v>440</v>
      </c>
      <c r="S22" s="19" t="s">
        <v>438</v>
      </c>
      <c r="T22" s="20" t="s">
        <v>440</v>
      </c>
      <c r="U22" s="19" t="s">
        <v>438</v>
      </c>
      <c r="V22" s="19" t="s">
        <v>438</v>
      </c>
      <c r="X22" s="19" t="s">
        <v>506</v>
      </c>
      <c r="Y22" s="21" t="s">
        <v>506</v>
      </c>
    </row>
    <row r="23" spans="1:25">
      <c r="A23" s="16" t="s">
        <v>508</v>
      </c>
      <c r="B23" s="23" t="s">
        <v>410</v>
      </c>
      <c r="C23" s="16" t="s">
        <v>506</v>
      </c>
      <c r="D23" s="23"/>
      <c r="E23" s="16">
        <f>1*8*D23</f>
        <v>0</v>
      </c>
      <c r="F23" s="31" t="e">
        <f>C$1/E23</f>
        <v>#DIV/0!</v>
      </c>
      <c r="G23" s="16" t="s">
        <v>539</v>
      </c>
      <c r="H23" s="17">
        <v>90</v>
      </c>
      <c r="I23" s="25" t="s">
        <v>540</v>
      </c>
      <c r="J23" s="41" t="s">
        <v>506</v>
      </c>
      <c r="K23" s="19" t="s">
        <v>506</v>
      </c>
      <c r="L23" s="19" t="s">
        <v>506</v>
      </c>
      <c r="M23" s="21" t="s">
        <v>506</v>
      </c>
      <c r="N23" s="41" t="s">
        <v>506</v>
      </c>
      <c r="O23" s="19" t="s">
        <v>506</v>
      </c>
      <c r="P23" s="19" t="s">
        <v>506</v>
      </c>
      <c r="Q23" s="19" t="s">
        <v>506</v>
      </c>
      <c r="R23" s="19" t="s">
        <v>506</v>
      </c>
      <c r="S23" s="19" t="s">
        <v>506</v>
      </c>
      <c r="V23" s="19" t="s">
        <v>438</v>
      </c>
      <c r="X23" s="19" t="s">
        <v>506</v>
      </c>
      <c r="Y23" s="21" t="s">
        <v>506</v>
      </c>
    </row>
    <row r="24" spans="1:25">
      <c r="A24" s="16" t="s">
        <v>508</v>
      </c>
      <c r="B24" s="23" t="s">
        <v>371</v>
      </c>
      <c r="C24" s="16" t="s">
        <v>506</v>
      </c>
      <c r="D24" s="23"/>
      <c r="E24" s="16">
        <f>1*8*D24</f>
        <v>0</v>
      </c>
      <c r="F24" s="31" t="e">
        <f>C$1/E24</f>
        <v>#DIV/0!</v>
      </c>
      <c r="G24" s="16" t="s">
        <v>454</v>
      </c>
      <c r="H24" s="17">
        <v>46</v>
      </c>
      <c r="I24" s="25" t="s">
        <v>532</v>
      </c>
      <c r="J24" s="41" t="s">
        <v>506</v>
      </c>
      <c r="K24" s="19" t="s">
        <v>506</v>
      </c>
      <c r="L24" s="19" t="s">
        <v>506</v>
      </c>
      <c r="M24" s="21" t="s">
        <v>506</v>
      </c>
      <c r="N24" s="41" t="s">
        <v>440</v>
      </c>
      <c r="O24" s="19" t="s">
        <v>440</v>
      </c>
      <c r="P24" s="19" t="s">
        <v>506</v>
      </c>
      <c r="Q24" s="19" t="s">
        <v>506</v>
      </c>
      <c r="R24" s="19" t="s">
        <v>440</v>
      </c>
      <c r="S24" s="19" t="s">
        <v>440</v>
      </c>
      <c r="X24" s="19" t="s">
        <v>506</v>
      </c>
      <c r="Y24" s="21" t="s">
        <v>506</v>
      </c>
    </row>
    <row r="25" spans="1:25">
      <c r="A25" s="16" t="s">
        <v>508</v>
      </c>
      <c r="B25" s="23" t="s">
        <v>369</v>
      </c>
      <c r="C25" s="16" t="s">
        <v>506</v>
      </c>
      <c r="D25" s="23"/>
      <c r="E25" s="16">
        <f>1*8*D25</f>
        <v>0</v>
      </c>
      <c r="F25" s="31" t="e">
        <f>C$1/E25</f>
        <v>#DIV/0!</v>
      </c>
      <c r="G25" s="16" t="s">
        <v>452</v>
      </c>
      <c r="H25" s="17">
        <v>45</v>
      </c>
      <c r="I25" s="25" t="s">
        <v>533</v>
      </c>
      <c r="J25" s="41" t="s">
        <v>506</v>
      </c>
      <c r="K25" s="19" t="s">
        <v>506</v>
      </c>
      <c r="L25" s="19" t="s">
        <v>506</v>
      </c>
      <c r="M25" s="21" t="s">
        <v>506</v>
      </c>
      <c r="N25" s="41"/>
      <c r="O25" s="19" t="s">
        <v>506</v>
      </c>
      <c r="P25" s="19" t="s">
        <v>506</v>
      </c>
      <c r="Q25" s="19" t="s">
        <v>506</v>
      </c>
      <c r="R25" s="19" t="s">
        <v>506</v>
      </c>
      <c r="S25" s="19" t="s">
        <v>440</v>
      </c>
      <c r="X25" s="19" t="s">
        <v>506</v>
      </c>
      <c r="Y25" s="21" t="s">
        <v>506</v>
      </c>
    </row>
    <row r="26" spans="1:25">
      <c r="A26" s="16" t="s">
        <v>508</v>
      </c>
      <c r="B26" s="23" t="s">
        <v>365</v>
      </c>
      <c r="C26" s="16" t="s">
        <v>506</v>
      </c>
      <c r="D26" s="23"/>
      <c r="E26" s="16">
        <f>1*8*D26</f>
        <v>0</v>
      </c>
      <c r="F26" s="31" t="e">
        <f>C$1/E26</f>
        <v>#DIV/0!</v>
      </c>
      <c r="G26" s="16" t="s">
        <v>452</v>
      </c>
      <c r="H26" s="17">
        <v>44</v>
      </c>
      <c r="I26" s="25" t="s">
        <v>535</v>
      </c>
      <c r="J26" s="41" t="s">
        <v>506</v>
      </c>
      <c r="K26" s="19" t="s">
        <v>506</v>
      </c>
      <c r="L26" s="19" t="s">
        <v>506</v>
      </c>
      <c r="M26" s="21" t="s">
        <v>506</v>
      </c>
      <c r="N26" s="41" t="s">
        <v>440</v>
      </c>
      <c r="O26" s="19" t="s">
        <v>440</v>
      </c>
      <c r="P26" s="19" t="s">
        <v>506</v>
      </c>
      <c r="Q26" s="19" t="s">
        <v>506</v>
      </c>
      <c r="R26" s="19" t="s">
        <v>440</v>
      </c>
      <c r="S26" s="19" t="s">
        <v>440</v>
      </c>
      <c r="X26" s="19" t="s">
        <v>506</v>
      </c>
      <c r="Y26" s="21" t="s">
        <v>506</v>
      </c>
    </row>
    <row r="27" spans="1:25">
      <c r="A27" s="16" t="s">
        <v>508</v>
      </c>
      <c r="B27" s="23" t="s">
        <v>357</v>
      </c>
      <c r="C27" s="16" t="s">
        <v>506</v>
      </c>
      <c r="D27" s="23"/>
      <c r="E27" s="16">
        <f>1*8*D27</f>
        <v>0</v>
      </c>
      <c r="F27" s="31" t="e">
        <f>C$1/E27</f>
        <v>#DIV/0!</v>
      </c>
      <c r="G27" s="16" t="s">
        <v>452</v>
      </c>
      <c r="H27" s="17">
        <v>39</v>
      </c>
      <c r="I27" s="25" t="s">
        <v>537</v>
      </c>
      <c r="J27" s="41" t="s">
        <v>506</v>
      </c>
      <c r="K27" s="19" t="s">
        <v>506</v>
      </c>
      <c r="L27" s="19" t="s">
        <v>506</v>
      </c>
      <c r="M27" s="21" t="s">
        <v>506</v>
      </c>
      <c r="N27" s="41" t="s">
        <v>440</v>
      </c>
      <c r="O27" s="19" t="s">
        <v>440</v>
      </c>
      <c r="P27" s="19" t="s">
        <v>506</v>
      </c>
      <c r="Q27" s="19" t="s">
        <v>506</v>
      </c>
      <c r="R27" s="19" t="s">
        <v>440</v>
      </c>
      <c r="S27" s="19" t="s">
        <v>440</v>
      </c>
      <c r="X27" s="19" t="s">
        <v>506</v>
      </c>
      <c r="Y27" s="21" t="s">
        <v>506</v>
      </c>
    </row>
    <row r="28" spans="1:25">
      <c r="A28" s="16" t="s">
        <v>508</v>
      </c>
      <c r="B28" s="23" t="s">
        <v>358</v>
      </c>
      <c r="C28" s="16" t="s">
        <v>506</v>
      </c>
      <c r="D28" s="23"/>
      <c r="E28" s="16">
        <f>1*8*D28</f>
        <v>0</v>
      </c>
      <c r="F28" s="31" t="e">
        <f>C$1/E28</f>
        <v>#DIV/0!</v>
      </c>
      <c r="G28" s="16" t="s">
        <v>452</v>
      </c>
      <c r="H28" s="17">
        <v>40</v>
      </c>
      <c r="I28" s="25" t="s">
        <v>532</v>
      </c>
      <c r="J28" s="41" t="s">
        <v>506</v>
      </c>
      <c r="K28" s="19" t="s">
        <v>506</v>
      </c>
      <c r="L28" s="19" t="s">
        <v>506</v>
      </c>
      <c r="M28" s="21" t="s">
        <v>506</v>
      </c>
      <c r="N28" s="41" t="s">
        <v>440</v>
      </c>
      <c r="O28" s="19" t="s">
        <v>440</v>
      </c>
      <c r="P28" s="19" t="s">
        <v>506</v>
      </c>
      <c r="Q28" s="19" t="s">
        <v>506</v>
      </c>
      <c r="R28" s="19" t="s">
        <v>440</v>
      </c>
      <c r="S28" s="19" t="s">
        <v>440</v>
      </c>
      <c r="X28" s="19" t="s">
        <v>506</v>
      </c>
      <c r="Y28" s="21" t="s">
        <v>506</v>
      </c>
    </row>
    <row r="29" spans="1:25">
      <c r="A29" s="16" t="s">
        <v>508</v>
      </c>
      <c r="B29" s="23" t="s">
        <v>364</v>
      </c>
      <c r="C29" s="16" t="s">
        <v>506</v>
      </c>
      <c r="D29" s="23"/>
      <c r="E29" s="16">
        <f>1*8*D29</f>
        <v>0</v>
      </c>
      <c r="F29" s="31" t="e">
        <f>C$1/E29</f>
        <v>#DIV/0!</v>
      </c>
      <c r="G29" s="16" t="s">
        <v>452</v>
      </c>
      <c r="H29" s="17">
        <v>43</v>
      </c>
      <c r="I29" s="25" t="s">
        <v>531</v>
      </c>
      <c r="J29" s="41" t="s">
        <v>506</v>
      </c>
      <c r="K29" s="19" t="s">
        <v>506</v>
      </c>
      <c r="L29" s="19" t="s">
        <v>506</v>
      </c>
      <c r="M29" s="21" t="s">
        <v>506</v>
      </c>
      <c r="N29" s="41"/>
      <c r="O29" s="19" t="s">
        <v>440</v>
      </c>
      <c r="P29" s="19" t="s">
        <v>506</v>
      </c>
      <c r="Q29" s="19" t="s">
        <v>506</v>
      </c>
      <c r="S29" s="19" t="s">
        <v>440</v>
      </c>
      <c r="X29" s="19" t="s">
        <v>506</v>
      </c>
      <c r="Y29" s="21" t="s">
        <v>506</v>
      </c>
    </row>
    <row r="30" spans="1:25">
      <c r="A30" s="16" t="s">
        <v>508</v>
      </c>
      <c r="B30" s="23" t="s">
        <v>359</v>
      </c>
      <c r="C30" s="16" t="s">
        <v>506</v>
      </c>
      <c r="D30" s="23"/>
      <c r="E30" s="16">
        <f>1*8*D30</f>
        <v>0</v>
      </c>
      <c r="F30" s="31" t="e">
        <f>C$1/E30</f>
        <v>#DIV/0!</v>
      </c>
      <c r="G30" s="16" t="s">
        <v>452</v>
      </c>
      <c r="H30" s="17">
        <v>41</v>
      </c>
      <c r="I30" s="25" t="s">
        <v>534</v>
      </c>
      <c r="J30" s="41" t="s">
        <v>506</v>
      </c>
      <c r="K30" s="19" t="s">
        <v>506</v>
      </c>
      <c r="L30" s="19" t="s">
        <v>506</v>
      </c>
      <c r="M30" s="21" t="s">
        <v>506</v>
      </c>
      <c r="N30" s="41"/>
      <c r="O30" s="19" t="s">
        <v>438</v>
      </c>
      <c r="P30" s="19" t="s">
        <v>506</v>
      </c>
      <c r="Q30" s="19" t="s">
        <v>506</v>
      </c>
      <c r="S30" s="19" t="s">
        <v>438</v>
      </c>
      <c r="X30" s="19" t="s">
        <v>506</v>
      </c>
      <c r="Y30" s="21" t="s">
        <v>506</v>
      </c>
    </row>
    <row r="31" spans="1:25">
      <c r="A31" s="16" t="s">
        <v>508</v>
      </c>
      <c r="B31" s="23" t="s">
        <v>353</v>
      </c>
      <c r="C31" s="16" t="s">
        <v>506</v>
      </c>
      <c r="D31" s="23"/>
      <c r="E31" s="16">
        <f>1*8*D31</f>
        <v>0</v>
      </c>
      <c r="F31" s="31" t="e">
        <f>C$1/E31</f>
        <v>#DIV/0!</v>
      </c>
      <c r="G31" s="16" t="s">
        <v>452</v>
      </c>
      <c r="H31" s="17">
        <v>38</v>
      </c>
      <c r="I31" s="25" t="s">
        <v>536</v>
      </c>
      <c r="J31" s="41" t="s">
        <v>506</v>
      </c>
      <c r="K31" s="19" t="s">
        <v>506</v>
      </c>
      <c r="L31" s="19" t="s">
        <v>506</v>
      </c>
      <c r="M31" s="21" t="s">
        <v>506</v>
      </c>
      <c r="N31" s="41"/>
      <c r="P31" s="19" t="s">
        <v>506</v>
      </c>
      <c r="Q31" s="19" t="s">
        <v>506</v>
      </c>
      <c r="X31" s="19" t="s">
        <v>506</v>
      </c>
      <c r="Y31" s="21" t="s">
        <v>506</v>
      </c>
    </row>
    <row r="32" spans="1:25">
      <c r="A32" s="16" t="s">
        <v>508</v>
      </c>
      <c r="B32" s="23" t="s">
        <v>522</v>
      </c>
      <c r="C32" s="16" t="s">
        <v>506</v>
      </c>
      <c r="D32" s="23"/>
      <c r="E32" s="16">
        <f>1*8*D32</f>
        <v>0</v>
      </c>
      <c r="F32" s="31" t="e">
        <f>C$1/E32</f>
        <v>#DIV/0!</v>
      </c>
      <c r="J32" s="41" t="s">
        <v>506</v>
      </c>
      <c r="K32" s="19" t="s">
        <v>506</v>
      </c>
      <c r="L32" s="19" t="s">
        <v>506</v>
      </c>
      <c r="M32" s="21" t="s">
        <v>506</v>
      </c>
      <c r="N32" s="41" t="s">
        <v>506</v>
      </c>
      <c r="O32" s="19" t="s">
        <v>506</v>
      </c>
      <c r="P32" s="19" t="s">
        <v>506</v>
      </c>
      <c r="Q32" s="19" t="s">
        <v>506</v>
      </c>
      <c r="X32" s="19" t="s">
        <v>506</v>
      </c>
      <c r="Y32" s="21" t="s">
        <v>506</v>
      </c>
    </row>
    <row r="33" spans="1:25">
      <c r="A33" s="16" t="s">
        <v>508</v>
      </c>
      <c r="B33" s="23" t="s">
        <v>523</v>
      </c>
      <c r="C33" s="16" t="s">
        <v>506</v>
      </c>
      <c r="D33" s="23"/>
      <c r="E33" s="16">
        <f>1*8*D33</f>
        <v>0</v>
      </c>
      <c r="F33" s="31" t="e">
        <f>C$1/E33</f>
        <v>#DIV/0!</v>
      </c>
      <c r="J33" s="41" t="s">
        <v>506</v>
      </c>
      <c r="K33" s="19" t="s">
        <v>506</v>
      </c>
      <c r="L33" s="19" t="s">
        <v>506</v>
      </c>
      <c r="M33" s="21" t="s">
        <v>506</v>
      </c>
      <c r="N33" s="41" t="s">
        <v>506</v>
      </c>
      <c r="O33" s="19" t="s">
        <v>506</v>
      </c>
      <c r="P33" s="19" t="s">
        <v>506</v>
      </c>
      <c r="Q33" s="19" t="s">
        <v>506</v>
      </c>
      <c r="X33" s="19" t="s">
        <v>506</v>
      </c>
      <c r="Y33" s="21" t="s">
        <v>506</v>
      </c>
    </row>
    <row r="34" spans="1:25">
      <c r="A34" s="16" t="s">
        <v>508</v>
      </c>
      <c r="B34" s="23" t="s">
        <v>524</v>
      </c>
      <c r="C34" s="16" t="s">
        <v>506</v>
      </c>
      <c r="D34" s="23"/>
      <c r="E34" s="16">
        <f>1*8*D34</f>
        <v>0</v>
      </c>
      <c r="F34" s="31" t="e">
        <f>C$1/E34</f>
        <v>#DIV/0!</v>
      </c>
      <c r="J34" s="41" t="s">
        <v>506</v>
      </c>
      <c r="K34" s="19" t="s">
        <v>506</v>
      </c>
      <c r="L34" s="19" t="s">
        <v>506</v>
      </c>
      <c r="M34" s="21" t="s">
        <v>506</v>
      </c>
      <c r="N34" s="41" t="s">
        <v>506</v>
      </c>
      <c r="O34" s="19" t="s">
        <v>506</v>
      </c>
      <c r="P34" s="19" t="s">
        <v>506</v>
      </c>
      <c r="Q34" s="19" t="s">
        <v>506</v>
      </c>
      <c r="X34" s="19" t="s">
        <v>506</v>
      </c>
      <c r="Y34" s="21" t="s">
        <v>506</v>
      </c>
    </row>
    <row r="35" spans="1:25">
      <c r="A35" s="16" t="s">
        <v>508</v>
      </c>
      <c r="B35" s="23" t="s">
        <v>312</v>
      </c>
      <c r="C35" s="16" t="s">
        <v>506</v>
      </c>
      <c r="D35" s="23"/>
      <c r="E35" s="16">
        <f>1*8*D35</f>
        <v>0</v>
      </c>
      <c r="F35" s="31" t="e">
        <f>C$1/E35</f>
        <v>#DIV/0!</v>
      </c>
      <c r="G35" s="16" t="s">
        <v>452</v>
      </c>
      <c r="H35" s="17">
        <v>21</v>
      </c>
      <c r="I35" s="25" t="s">
        <v>532</v>
      </c>
      <c r="J35" s="41" t="s">
        <v>506</v>
      </c>
      <c r="K35" s="19" t="s">
        <v>506</v>
      </c>
      <c r="L35" s="19" t="s">
        <v>506</v>
      </c>
      <c r="M35" s="21" t="s">
        <v>506</v>
      </c>
      <c r="N35" s="41" t="s">
        <v>438</v>
      </c>
      <c r="O35" s="19" t="s">
        <v>506</v>
      </c>
      <c r="P35" s="19" t="s">
        <v>506</v>
      </c>
      <c r="Q35" s="19" t="s">
        <v>506</v>
      </c>
      <c r="R35" s="19" t="s">
        <v>506</v>
      </c>
      <c r="S35" s="19" t="s">
        <v>438</v>
      </c>
      <c r="W35" s="19" t="s">
        <v>438</v>
      </c>
      <c r="X35" s="19" t="s">
        <v>506</v>
      </c>
      <c r="Y35" s="21" t="s">
        <v>506</v>
      </c>
    </row>
    <row r="36" spans="1:25">
      <c r="A36" s="16" t="s">
        <v>508</v>
      </c>
      <c r="B36" s="23" t="s">
        <v>311</v>
      </c>
      <c r="C36" s="16" t="s">
        <v>506</v>
      </c>
      <c r="D36" s="23"/>
      <c r="E36" s="16">
        <f>1*8*D36</f>
        <v>0</v>
      </c>
      <c r="F36" s="31" t="e">
        <f>C$1/E36</f>
        <v>#DIV/0!</v>
      </c>
      <c r="G36" s="16" t="s">
        <v>452</v>
      </c>
      <c r="H36" s="17">
        <v>20</v>
      </c>
      <c r="I36" s="25" t="s">
        <v>532</v>
      </c>
      <c r="J36" s="41" t="s">
        <v>506</v>
      </c>
      <c r="K36" s="19" t="s">
        <v>506</v>
      </c>
      <c r="L36" s="19" t="s">
        <v>506</v>
      </c>
      <c r="M36" s="21" t="s">
        <v>506</v>
      </c>
      <c r="N36" s="41" t="s">
        <v>438</v>
      </c>
      <c r="O36" s="19" t="s">
        <v>506</v>
      </c>
      <c r="P36" s="19" t="s">
        <v>506</v>
      </c>
      <c r="Q36" s="19" t="s">
        <v>506</v>
      </c>
      <c r="R36" s="19" t="s">
        <v>506</v>
      </c>
      <c r="S36" s="19" t="s">
        <v>438</v>
      </c>
      <c r="X36" s="19" t="s">
        <v>506</v>
      </c>
      <c r="Y36" s="21" t="s">
        <v>506</v>
      </c>
    </row>
    <row r="37" spans="1:25">
      <c r="A37" s="16" t="s">
        <v>508</v>
      </c>
      <c r="B37" s="23" t="s">
        <v>314</v>
      </c>
      <c r="C37" s="16" t="s">
        <v>506</v>
      </c>
      <c r="D37" s="23"/>
      <c r="E37" s="16">
        <f>1*8*D37</f>
        <v>0</v>
      </c>
      <c r="F37" s="31" t="e">
        <f>C$1/E37</f>
        <v>#DIV/0!</v>
      </c>
      <c r="G37" s="16" t="s">
        <v>452</v>
      </c>
      <c r="H37" s="17">
        <v>23</v>
      </c>
      <c r="I37" s="25" t="s">
        <v>538</v>
      </c>
      <c r="J37" s="41" t="s">
        <v>506</v>
      </c>
      <c r="K37" s="19" t="s">
        <v>506</v>
      </c>
      <c r="L37" s="19" t="s">
        <v>506</v>
      </c>
      <c r="M37" s="21" t="s">
        <v>506</v>
      </c>
      <c r="N37" s="41" t="s">
        <v>438</v>
      </c>
      <c r="O37" s="19" t="s">
        <v>506</v>
      </c>
      <c r="P37" s="19" t="s">
        <v>506</v>
      </c>
      <c r="Q37" s="19" t="s">
        <v>506</v>
      </c>
      <c r="R37" s="19" t="s">
        <v>506</v>
      </c>
      <c r="S37" s="19" t="s">
        <v>438</v>
      </c>
      <c r="V37" s="19" t="s">
        <v>438</v>
      </c>
      <c r="X37" s="19" t="s">
        <v>506</v>
      </c>
      <c r="Y37" s="21" t="s">
        <v>506</v>
      </c>
    </row>
    <row r="38" spans="1:25">
      <c r="A38" s="16" t="s">
        <v>508</v>
      </c>
      <c r="B38" s="23" t="s">
        <v>525</v>
      </c>
      <c r="C38" s="16" t="s">
        <v>506</v>
      </c>
      <c r="D38" s="23"/>
      <c r="E38" s="16">
        <f>1*8*D38</f>
        <v>0</v>
      </c>
      <c r="F38" s="31" t="e">
        <f>C$1/E38</f>
        <v>#DIV/0!</v>
      </c>
      <c r="J38" s="41" t="s">
        <v>506</v>
      </c>
      <c r="K38" s="19" t="s">
        <v>506</v>
      </c>
      <c r="L38" s="19" t="s">
        <v>506</v>
      </c>
      <c r="M38" s="21" t="s">
        <v>506</v>
      </c>
      <c r="N38" s="41"/>
      <c r="P38" s="19" t="s">
        <v>506</v>
      </c>
      <c r="Q38" s="19" t="s">
        <v>506</v>
      </c>
      <c r="X38" s="19" t="s">
        <v>506</v>
      </c>
      <c r="Y38" s="21" t="s">
        <v>506</v>
      </c>
    </row>
    <row r="39" spans="1:25">
      <c r="A39" s="16" t="s">
        <v>508</v>
      </c>
      <c r="B39" s="16" t="s">
        <v>403</v>
      </c>
      <c r="C39" s="16" t="s">
        <v>506</v>
      </c>
      <c r="E39" s="16">
        <f>1*8*D39</f>
        <v>0</v>
      </c>
      <c r="F39" s="31" t="e">
        <f>C$1/E39</f>
        <v>#DIV/0!</v>
      </c>
      <c r="G39" s="16" t="s">
        <v>451</v>
      </c>
      <c r="H39" s="17">
        <v>70</v>
      </c>
      <c r="I39" s="25" t="s">
        <v>517</v>
      </c>
      <c r="J39" s="41" t="s">
        <v>506</v>
      </c>
      <c r="K39" s="19" t="s">
        <v>506</v>
      </c>
      <c r="L39" s="19" t="s">
        <v>506</v>
      </c>
      <c r="M39" s="21" t="s">
        <v>506</v>
      </c>
      <c r="N39" s="41" t="s">
        <v>438</v>
      </c>
      <c r="O39" s="19" t="s">
        <v>506</v>
      </c>
      <c r="P39" s="19" t="s">
        <v>506</v>
      </c>
      <c r="Q39" s="19" t="s">
        <v>506</v>
      </c>
      <c r="R39" s="19" t="s">
        <v>506</v>
      </c>
      <c r="S39" s="19" t="s">
        <v>506</v>
      </c>
      <c r="T39" s="20" t="s">
        <v>506</v>
      </c>
      <c r="U39" s="19" t="s">
        <v>506</v>
      </c>
      <c r="X39" s="19" t="s">
        <v>506</v>
      </c>
      <c r="Y39" s="21" t="s">
        <v>506</v>
      </c>
    </row>
    <row r="40" spans="1:25">
      <c r="A40" s="16" t="s">
        <v>508</v>
      </c>
      <c r="B40" s="16" t="s">
        <v>348</v>
      </c>
      <c r="C40" s="16" t="s">
        <v>506</v>
      </c>
      <c r="E40" s="16">
        <f>1*8*D40</f>
        <v>0</v>
      </c>
      <c r="F40" s="31" t="e">
        <f>C$1/E40</f>
        <v>#DIV/0!</v>
      </c>
      <c r="G40" s="16" t="s">
        <v>452</v>
      </c>
      <c r="H40" s="17">
        <v>35</v>
      </c>
      <c r="I40" s="25"/>
      <c r="J40" s="41" t="s">
        <v>506</v>
      </c>
      <c r="K40" s="19" t="s">
        <v>506</v>
      </c>
      <c r="L40" s="19" t="s">
        <v>506</v>
      </c>
      <c r="M40" s="21" t="s">
        <v>506</v>
      </c>
      <c r="N40" s="41"/>
      <c r="P40" s="19" t="s">
        <v>506</v>
      </c>
      <c r="Q40" s="19" t="s">
        <v>506</v>
      </c>
      <c r="V40" s="19" t="s">
        <v>438</v>
      </c>
      <c r="X40" s="19" t="s">
        <v>506</v>
      </c>
      <c r="Y40" s="21" t="s">
        <v>506</v>
      </c>
    </row>
    <row r="41" spans="1:25">
      <c r="A41" s="16" t="s">
        <v>508</v>
      </c>
      <c r="B41" s="23" t="s">
        <v>400</v>
      </c>
      <c r="C41" s="16" t="s">
        <v>506</v>
      </c>
      <c r="D41" s="23"/>
      <c r="E41" s="16">
        <f>1*8*D41</f>
        <v>0</v>
      </c>
      <c r="F41" s="31" t="e">
        <f>C$1/E41</f>
        <v>#DIV/0!</v>
      </c>
      <c r="G41" s="16" t="s">
        <v>452</v>
      </c>
      <c r="H41" s="17">
        <v>66</v>
      </c>
      <c r="I41" s="25" t="s">
        <v>528</v>
      </c>
      <c r="J41" s="41" t="s">
        <v>506</v>
      </c>
      <c r="K41" s="19" t="s">
        <v>506</v>
      </c>
      <c r="L41" s="19" t="s">
        <v>506</v>
      </c>
      <c r="M41" s="21" t="s">
        <v>506</v>
      </c>
      <c r="N41" s="41" t="s">
        <v>440</v>
      </c>
      <c r="P41" s="19" t="s">
        <v>506</v>
      </c>
      <c r="Q41" s="19" t="s">
        <v>506</v>
      </c>
      <c r="R41" s="19" t="s">
        <v>506</v>
      </c>
      <c r="S41" s="19" t="s">
        <v>438</v>
      </c>
      <c r="T41" s="20" t="s">
        <v>506</v>
      </c>
      <c r="U41" s="19" t="s">
        <v>438</v>
      </c>
      <c r="W41" s="19" t="s">
        <v>438</v>
      </c>
      <c r="X41" s="19" t="s">
        <v>506</v>
      </c>
      <c r="Y41" s="21" t="s">
        <v>506</v>
      </c>
    </row>
    <row r="42" spans="1:25">
      <c r="A42" s="16" t="s">
        <v>508</v>
      </c>
      <c r="B42" s="23" t="s">
        <v>331</v>
      </c>
      <c r="C42" s="16" t="s">
        <v>506</v>
      </c>
      <c r="D42" s="23"/>
      <c r="E42" s="16">
        <f>1*8*D42</f>
        <v>0</v>
      </c>
      <c r="F42" s="31" t="e">
        <f>C$1/E42</f>
        <v>#DIV/0!</v>
      </c>
      <c r="G42" s="16" t="s">
        <v>450</v>
      </c>
      <c r="H42" s="17">
        <v>26</v>
      </c>
      <c r="I42" s="25"/>
      <c r="J42" s="41" t="s">
        <v>506</v>
      </c>
      <c r="K42" s="19" t="s">
        <v>506</v>
      </c>
      <c r="L42" s="19" t="s">
        <v>506</v>
      </c>
      <c r="M42" s="21" t="s">
        <v>506</v>
      </c>
      <c r="N42" s="41"/>
      <c r="P42" s="19" t="s">
        <v>506</v>
      </c>
      <c r="Q42" s="19" t="s">
        <v>506</v>
      </c>
      <c r="V42" s="19" t="s">
        <v>438</v>
      </c>
      <c r="X42" s="19" t="s">
        <v>506</v>
      </c>
      <c r="Y42" s="21" t="s">
        <v>506</v>
      </c>
    </row>
    <row r="43" spans="1:25">
      <c r="A43" s="16" t="s">
        <v>508</v>
      </c>
      <c r="B43" s="16" t="s">
        <v>351</v>
      </c>
      <c r="C43" s="16" t="s">
        <v>506</v>
      </c>
      <c r="E43" s="16">
        <f>1*8*D43</f>
        <v>0</v>
      </c>
      <c r="F43" s="31" t="e">
        <f>C$1/E43</f>
        <v>#DIV/0!</v>
      </c>
      <c r="G43" s="16" t="s">
        <v>452</v>
      </c>
      <c r="H43" s="17">
        <v>36</v>
      </c>
      <c r="I43" s="25"/>
      <c r="J43" s="41" t="s">
        <v>506</v>
      </c>
      <c r="K43" s="19" t="s">
        <v>506</v>
      </c>
      <c r="L43" s="19" t="s">
        <v>506</v>
      </c>
      <c r="M43" s="21" t="s">
        <v>506</v>
      </c>
      <c r="N43" s="41" t="s">
        <v>506</v>
      </c>
      <c r="O43" s="19" t="s">
        <v>506</v>
      </c>
      <c r="P43" s="19" t="s">
        <v>506</v>
      </c>
      <c r="Q43" s="19" t="s">
        <v>506</v>
      </c>
      <c r="V43" s="19" t="s">
        <v>438</v>
      </c>
      <c r="X43" s="19" t="s">
        <v>506</v>
      </c>
      <c r="Y43" s="21" t="s">
        <v>506</v>
      </c>
    </row>
    <row r="44" spans="1:25">
      <c r="A44" s="16" t="s">
        <v>508</v>
      </c>
      <c r="B44" s="23" t="s">
        <v>519</v>
      </c>
      <c r="C44" s="16" t="s">
        <v>506</v>
      </c>
      <c r="D44" s="23"/>
      <c r="E44" s="16">
        <f>1*8*D44</f>
        <v>0</v>
      </c>
      <c r="F44" s="31" t="e">
        <f>C$1/E44</f>
        <v>#DIV/0!</v>
      </c>
      <c r="J44" s="41" t="s">
        <v>506</v>
      </c>
      <c r="K44" s="19" t="s">
        <v>506</v>
      </c>
      <c r="L44" s="19" t="s">
        <v>506</v>
      </c>
      <c r="M44" s="21" t="s">
        <v>506</v>
      </c>
      <c r="N44" s="41" t="s">
        <v>506</v>
      </c>
      <c r="O44" s="19" t="s">
        <v>506</v>
      </c>
      <c r="P44" s="19" t="s">
        <v>506</v>
      </c>
      <c r="Q44" s="19" t="s">
        <v>506</v>
      </c>
      <c r="X44" s="19" t="s">
        <v>506</v>
      </c>
      <c r="Y44" s="21" t="s">
        <v>506</v>
      </c>
    </row>
    <row r="45" spans="1:25">
      <c r="A45" s="16" t="s">
        <v>508</v>
      </c>
      <c r="B45" s="23" t="s">
        <v>310</v>
      </c>
      <c r="C45" s="16" t="s">
        <v>506</v>
      </c>
      <c r="D45" s="23"/>
      <c r="E45" s="16">
        <f>1*8*D45</f>
        <v>0</v>
      </c>
      <c r="F45" s="31" t="e">
        <f>C$1/E45</f>
        <v>#DIV/0!</v>
      </c>
      <c r="G45" s="16" t="s">
        <v>452</v>
      </c>
      <c r="H45" s="17">
        <v>11</v>
      </c>
      <c r="I45" s="25" t="s">
        <v>530</v>
      </c>
      <c r="J45" s="41" t="s">
        <v>506</v>
      </c>
      <c r="K45" s="19" t="s">
        <v>506</v>
      </c>
      <c r="L45" s="19" t="s">
        <v>506</v>
      </c>
      <c r="M45" s="21" t="s">
        <v>506</v>
      </c>
      <c r="N45" s="41" t="s">
        <v>443</v>
      </c>
      <c r="O45" s="19" t="s">
        <v>506</v>
      </c>
      <c r="P45" s="19" t="s">
        <v>506</v>
      </c>
      <c r="Q45" s="19" t="s">
        <v>506</v>
      </c>
      <c r="R45" s="19" t="s">
        <v>506</v>
      </c>
      <c r="S45" s="19" t="s">
        <v>438</v>
      </c>
      <c r="T45" s="20" t="s">
        <v>506</v>
      </c>
      <c r="U45" s="19" t="s">
        <v>506</v>
      </c>
      <c r="X45" s="19" t="s">
        <v>506</v>
      </c>
      <c r="Y45" s="21" t="s">
        <v>506</v>
      </c>
    </row>
    <row r="46" spans="1:25">
      <c r="A46" s="16" t="s">
        <v>508</v>
      </c>
      <c r="B46" s="16" t="s">
        <v>390</v>
      </c>
      <c r="C46" s="16" t="s">
        <v>506</v>
      </c>
      <c r="E46" s="16">
        <f>1*8*D46</f>
        <v>0</v>
      </c>
      <c r="F46" s="31" t="e">
        <f>C$1/E46</f>
        <v>#DIV/0!</v>
      </c>
      <c r="G46" s="16" t="s">
        <v>452</v>
      </c>
      <c r="H46" s="17">
        <v>56</v>
      </c>
      <c r="I46" s="25" t="s">
        <v>514</v>
      </c>
      <c r="J46" s="41" t="s">
        <v>506</v>
      </c>
      <c r="K46" s="19" t="s">
        <v>506</v>
      </c>
      <c r="L46" s="19" t="s">
        <v>506</v>
      </c>
      <c r="M46" s="21" t="s">
        <v>506</v>
      </c>
      <c r="N46" s="41" t="s">
        <v>440</v>
      </c>
      <c r="O46" s="19" t="s">
        <v>506</v>
      </c>
      <c r="P46" s="19" t="s">
        <v>506</v>
      </c>
      <c r="Q46" s="19" t="s">
        <v>506</v>
      </c>
      <c r="R46" s="19" t="s">
        <v>506</v>
      </c>
      <c r="S46" s="19" t="s">
        <v>506</v>
      </c>
      <c r="T46" s="20" t="s">
        <v>506</v>
      </c>
      <c r="U46" s="19" t="s">
        <v>506</v>
      </c>
      <c r="X46" s="19" t="s">
        <v>506</v>
      </c>
      <c r="Y46" s="21" t="s">
        <v>506</v>
      </c>
    </row>
    <row r="47" spans="1:25" ht="15.75" thickBot="1">
      <c r="A47" s="16" t="s">
        <v>508</v>
      </c>
      <c r="B47" s="16" t="s">
        <v>305</v>
      </c>
      <c r="C47" s="16" t="s">
        <v>506</v>
      </c>
      <c r="E47" s="16">
        <f>1*8*D47</f>
        <v>0</v>
      </c>
      <c r="F47" s="31" t="e">
        <f>C$1/E47</f>
        <v>#DIV/0!</v>
      </c>
      <c r="H47" s="17">
        <v>2</v>
      </c>
      <c r="I47" s="25"/>
      <c r="J47" s="41" t="s">
        <v>506</v>
      </c>
      <c r="K47" s="19" t="s">
        <v>506</v>
      </c>
      <c r="L47" s="19" t="s">
        <v>506</v>
      </c>
      <c r="M47" s="21" t="s">
        <v>506</v>
      </c>
      <c r="N47" s="42"/>
      <c r="O47" s="43"/>
      <c r="P47" s="19" t="s">
        <v>506</v>
      </c>
      <c r="Q47" s="19" t="s">
        <v>506</v>
      </c>
      <c r="R47" s="43"/>
      <c r="S47" s="43"/>
      <c r="T47" s="45"/>
      <c r="U47" s="43"/>
      <c r="V47" s="43" t="s">
        <v>438</v>
      </c>
      <c r="W47" s="43" t="s">
        <v>438</v>
      </c>
      <c r="X47" s="19" t="s">
        <v>506</v>
      </c>
      <c r="Y47" s="21" t="s">
        <v>506</v>
      </c>
    </row>
    <row r="48" spans="1:25" hidden="1">
      <c r="A48" s="16" t="s">
        <v>505</v>
      </c>
      <c r="B48" s="16" t="s">
        <v>511</v>
      </c>
      <c r="C48" s="16" t="s">
        <v>506</v>
      </c>
      <c r="E48" s="16">
        <f t="shared" ref="E48:E50" si="2">1*8*D48</f>
        <v>0</v>
      </c>
      <c r="F48" s="31" t="e">
        <f>E$1/E48</f>
        <v>#DIV/0!</v>
      </c>
      <c r="G48" s="16" t="s">
        <v>453</v>
      </c>
      <c r="J48" s="19" t="s">
        <v>506</v>
      </c>
      <c r="K48" s="19" t="s">
        <v>506</v>
      </c>
      <c r="L48" s="19" t="s">
        <v>506</v>
      </c>
      <c r="M48" s="19" t="s">
        <v>506</v>
      </c>
      <c r="N48" s="19" t="s">
        <v>506</v>
      </c>
      <c r="O48" s="19" t="s">
        <v>506</v>
      </c>
      <c r="P48" s="19" t="s">
        <v>440</v>
      </c>
      <c r="Q48" s="19" t="s">
        <v>506</v>
      </c>
      <c r="R48" s="19" t="s">
        <v>506</v>
      </c>
      <c r="S48" s="19" t="s">
        <v>506</v>
      </c>
      <c r="T48" s="20" t="s">
        <v>506</v>
      </c>
      <c r="U48" s="19" t="s">
        <v>506</v>
      </c>
      <c r="X48" s="19" t="s">
        <v>506</v>
      </c>
      <c r="Y48" s="21" t="s">
        <v>506</v>
      </c>
    </row>
    <row r="49" spans="1:25" hidden="1">
      <c r="A49" s="16" t="s">
        <v>505</v>
      </c>
      <c r="B49" s="16" t="s">
        <v>510</v>
      </c>
      <c r="C49" s="16" t="s">
        <v>506</v>
      </c>
      <c r="E49" s="16">
        <f t="shared" si="2"/>
        <v>0</v>
      </c>
      <c r="F49" s="31" t="e">
        <f>E$1/E49</f>
        <v>#DIV/0!</v>
      </c>
      <c r="G49" s="16" t="s">
        <v>453</v>
      </c>
      <c r="J49" s="19" t="s">
        <v>506</v>
      </c>
      <c r="K49" s="19" t="s">
        <v>506</v>
      </c>
      <c r="L49" s="19" t="s">
        <v>506</v>
      </c>
      <c r="M49" s="19" t="s">
        <v>506</v>
      </c>
      <c r="N49" s="19" t="s">
        <v>506</v>
      </c>
      <c r="O49" s="19" t="s">
        <v>506</v>
      </c>
      <c r="P49" s="19" t="s">
        <v>440</v>
      </c>
      <c r="Q49" s="19" t="s">
        <v>506</v>
      </c>
      <c r="R49" s="19" t="s">
        <v>506</v>
      </c>
      <c r="S49" s="19" t="s">
        <v>506</v>
      </c>
      <c r="T49" s="20" t="s">
        <v>506</v>
      </c>
      <c r="U49" s="19" t="s">
        <v>506</v>
      </c>
      <c r="X49" s="19" t="s">
        <v>506</v>
      </c>
      <c r="Y49" s="21" t="s">
        <v>506</v>
      </c>
    </row>
    <row r="50" spans="1:25" hidden="1">
      <c r="A50" s="16" t="s">
        <v>505</v>
      </c>
      <c r="B50" s="16" t="s">
        <v>512</v>
      </c>
      <c r="C50" s="16" t="s">
        <v>506</v>
      </c>
      <c r="E50" s="16">
        <f t="shared" si="2"/>
        <v>0</v>
      </c>
      <c r="F50" s="31" t="e">
        <f>E$1/E50</f>
        <v>#DIV/0!</v>
      </c>
      <c r="G50" s="16" t="s">
        <v>453</v>
      </c>
      <c r="J50" s="19" t="s">
        <v>506</v>
      </c>
      <c r="K50" s="19" t="s">
        <v>506</v>
      </c>
      <c r="L50" s="19" t="s">
        <v>506</v>
      </c>
      <c r="M50" s="19" t="s">
        <v>506</v>
      </c>
      <c r="N50" s="19" t="s">
        <v>506</v>
      </c>
      <c r="O50" s="19" t="s">
        <v>506</v>
      </c>
      <c r="P50" s="19" t="s">
        <v>440</v>
      </c>
      <c r="Q50" s="19" t="s">
        <v>506</v>
      </c>
      <c r="R50" s="19" t="s">
        <v>506</v>
      </c>
      <c r="S50" s="19" t="s">
        <v>506</v>
      </c>
      <c r="T50" s="20" t="s">
        <v>506</v>
      </c>
      <c r="U50" s="19" t="s">
        <v>506</v>
      </c>
      <c r="X50" s="19" t="s">
        <v>506</v>
      </c>
      <c r="Y50" s="21" t="s">
        <v>506</v>
      </c>
    </row>
    <row r="51" spans="1:25" hidden="1">
      <c r="A51" s="16" t="s">
        <v>507</v>
      </c>
      <c r="B51" s="16" t="s">
        <v>547</v>
      </c>
      <c r="C51" s="16" t="s">
        <v>548</v>
      </c>
      <c r="J51" s="19" t="s">
        <v>438</v>
      </c>
      <c r="K51" s="19" t="s">
        <v>506</v>
      </c>
      <c r="L51" s="19" t="s">
        <v>506</v>
      </c>
      <c r="M51" s="19" t="s">
        <v>506</v>
      </c>
      <c r="N51" s="19" t="s">
        <v>506</v>
      </c>
      <c r="O51" s="19" t="s">
        <v>506</v>
      </c>
      <c r="P51" s="19" t="s">
        <v>506</v>
      </c>
      <c r="Q51" s="19" t="s">
        <v>506</v>
      </c>
      <c r="R51" s="19" t="s">
        <v>506</v>
      </c>
      <c r="S51" s="19" t="s">
        <v>506</v>
      </c>
      <c r="T51" s="19" t="s">
        <v>506</v>
      </c>
      <c r="U51" s="19" t="s">
        <v>506</v>
      </c>
      <c r="X51" s="19" t="s">
        <v>506</v>
      </c>
      <c r="Y51" s="19" t="s">
        <v>438</v>
      </c>
    </row>
    <row r="52" spans="1:25">
      <c r="Y52" s="19"/>
    </row>
  </sheetData>
  <autoFilter ref="A2:Z51">
    <filterColumn colId="0">
      <filters>
        <filter val="MAVLINK"/>
      </filters>
    </filterColumn>
    <sortState ref="A14:Y47">
      <sortCondition ref="B2:B51"/>
    </sortState>
  </autoFilter>
  <sortState ref="A3:Y55">
    <sortCondition ref="A3:A55"/>
    <sortCondition ref="B3:B55"/>
  </sortState>
  <mergeCells count="2">
    <mergeCell ref="N1:Y1"/>
    <mergeCell ref="J1:M1"/>
  </mergeCells>
  <conditionalFormatting sqref="J2:R2 J46:O46 J44:O44 J39:O39 N1:N5 J3:Y23 J48:Y65538 N40:O41 J40:M43 J47:M47 J24:O37 R24:Y37 R39:W41 R44:W44 R46:W46 P24:Q47">
    <cfRule type="cellIs" dxfId="81" priority="33" stopIfTrue="1" operator="equal">
      <formula>"HOLD"</formula>
    </cfRule>
    <cfRule type="cellIs" dxfId="80" priority="34" stopIfTrue="1" operator="equal">
      <formula>"DONE"</formula>
    </cfRule>
    <cfRule type="cellIs" dxfId="79" priority="35" stopIfTrue="1" operator="equal">
      <formula>"AWM"</formula>
    </cfRule>
    <cfRule type="cellIs" dxfId="78" priority="36" stopIfTrue="1" operator="equal">
      <formula>"INW"</formula>
    </cfRule>
    <cfRule type="cellIs" dxfId="77" priority="37" stopIfTrue="1" operator="equal">
      <formula>"CNLD"</formula>
    </cfRule>
  </conditionalFormatting>
  <conditionalFormatting sqref="J45:O45 R45:W45">
    <cfRule type="cellIs" dxfId="76" priority="27" stopIfTrue="1" operator="equal">
      <formula>"HOLD"</formula>
    </cfRule>
    <cfRule type="cellIs" dxfId="75" priority="28" stopIfTrue="1" operator="equal">
      <formula>"DONE"</formula>
    </cfRule>
    <cfRule type="cellIs" dxfId="74" priority="29" stopIfTrue="1" operator="equal">
      <formula>"AWM"</formula>
    </cfRule>
    <cfRule type="cellIs" dxfId="73" priority="30" stopIfTrue="1" operator="equal">
      <formula>"INW"</formula>
    </cfRule>
    <cfRule type="cellIs" dxfId="72" priority="31" stopIfTrue="1" operator="equal">
      <formula>"CNLD"</formula>
    </cfRule>
  </conditionalFormatting>
  <conditionalFormatting sqref="N42:O42 R42:W42">
    <cfRule type="cellIs" dxfId="71" priority="21" stopIfTrue="1" operator="equal">
      <formula>"HOLD"</formula>
    </cfRule>
    <cfRule type="cellIs" dxfId="70" priority="22" stopIfTrue="1" operator="equal">
      <formula>"DONE"</formula>
    </cfRule>
    <cfRule type="cellIs" dxfId="69" priority="23" stopIfTrue="1" operator="equal">
      <formula>"AWM"</formula>
    </cfRule>
    <cfRule type="cellIs" dxfId="68" priority="24" stopIfTrue="1" operator="equal">
      <formula>"INW"</formula>
    </cfRule>
    <cfRule type="cellIs" dxfId="67" priority="25" stopIfTrue="1" operator="equal">
      <formula>"CNLD"</formula>
    </cfRule>
  </conditionalFormatting>
  <conditionalFormatting sqref="N43:O43 R43:W43">
    <cfRule type="cellIs" dxfId="66" priority="15" stopIfTrue="1" operator="equal">
      <formula>"HOLD"</formula>
    </cfRule>
    <cfRule type="cellIs" dxfId="65" priority="16" stopIfTrue="1" operator="equal">
      <formula>"DONE"</formula>
    </cfRule>
    <cfRule type="cellIs" dxfId="64" priority="17" stopIfTrue="1" operator="equal">
      <formula>"AWM"</formula>
    </cfRule>
    <cfRule type="cellIs" dxfId="63" priority="18" stopIfTrue="1" operator="equal">
      <formula>"INW"</formula>
    </cfRule>
    <cfRule type="cellIs" dxfId="62" priority="19" stopIfTrue="1" operator="equal">
      <formula>"CNLD"</formula>
    </cfRule>
  </conditionalFormatting>
  <conditionalFormatting sqref="J38:O38 X39:Y47 R38:Y38">
    <cfRule type="cellIs" dxfId="61" priority="9" stopIfTrue="1" operator="equal">
      <formula>"HOLD"</formula>
    </cfRule>
    <cfRule type="cellIs" dxfId="60" priority="10" stopIfTrue="1" operator="equal">
      <formula>"DONE"</formula>
    </cfRule>
    <cfRule type="cellIs" dxfId="59" priority="11" stopIfTrue="1" operator="equal">
      <formula>"AWM"</formula>
    </cfRule>
    <cfRule type="cellIs" dxfId="58" priority="12" stopIfTrue="1" operator="equal">
      <formula>"INW"</formula>
    </cfRule>
    <cfRule type="cellIs" dxfId="57" priority="13" stopIfTrue="1" operator="equal">
      <formula>"CNLD"</formula>
    </cfRule>
  </conditionalFormatting>
  <conditionalFormatting sqref="N47:O47 R47:W47">
    <cfRule type="cellIs" dxfId="56" priority="3" stopIfTrue="1" operator="equal">
      <formula>"HOLD"</formula>
    </cfRule>
    <cfRule type="cellIs" dxfId="55" priority="4" stopIfTrue="1" operator="equal">
      <formula>"DONE"</formula>
    </cfRule>
    <cfRule type="cellIs" dxfId="54" priority="5" stopIfTrue="1" operator="equal">
      <formula>"AWM"</formula>
    </cfRule>
    <cfRule type="cellIs" dxfId="53" priority="6" stopIfTrue="1" operator="equal">
      <formula>"INW"</formula>
    </cfRule>
    <cfRule type="cellIs" dxfId="52" priority="7" stopIfTrue="1" operator="equal">
      <formula>"CNLD"</formula>
    </cfRule>
  </conditionalFormatting>
  <conditionalFormatting sqref="F1:F1048576">
    <cfRule type="cellIs" dxfId="51" priority="1" operator="greaterThan">
      <formula>0</formula>
    </cfRule>
  </conditionalFormatting>
  <hyperlinks>
    <hyperlink ref="I22" r:id="rId1" location="HEARTBEAT" display="https://pixhawk.ethz.ch/mavlink/ - HEARTBEAT"/>
    <hyperlink ref="I46" r:id="rId2" location="SET_ROLL_PITCH_YAW_THRUST" display="https://pixhawk.ethz.ch/mavlink/ - SET_ROLL_PITCH_YAW_THRUST"/>
    <hyperlink ref="I21" r:id="rId3" location="GLOBAL_POSITION_INT" display="https://pixhawk.ethz.ch/mavlink/ - GLOBAL_POSITION_INT"/>
    <hyperlink ref="I14" r:id="rId4" location="ATTITUDE" display="https://pixhawk.ethz.ch/mavlink/ - ATTITUDE"/>
    <hyperlink ref="I39" r:id="rId5" location="RC_CHANNELS_OVERRIDE" display="https://pixhawk.ethz.ch/mavlink/ - RC_CHANNELS_OVERRIDE"/>
    <hyperlink ref="I41" r:id="rId6" location="REQUEST_DATA_STREAM" display="https://pixhawk.ethz.ch/mavlink/ - REQUEST_DATA_STREAM"/>
    <hyperlink ref="I15" r:id="rId7" location="COMMAND_LONG" display="https://pixhawk.ethz.ch/mavlink/ - COMMAND_LONG"/>
    <hyperlink ref="I45" r:id="rId8" location="SET_MODE" display="https://pixhawk.ethz.ch/mavlink/ - SET_MODE"/>
    <hyperlink ref="I29" r:id="rId9" location="MISSION_REQUEST_LIST" display="https://pixhawk.ethz.ch/mavlink/ - MISSION_REQUEST_LIST"/>
    <hyperlink ref="I28" r:id="rId10" location="MISSION_REQUEST" display="https://pixhawk.ethz.ch/mavlink/ - MISSION_REQUEST"/>
    <hyperlink ref="I24" r:id="rId11" location="MISSION_REQUEST" display="https://pixhawk.ethz.ch/mavlink/ - MISSION_REQUEST"/>
    <hyperlink ref="I35" r:id="rId12" location="MISSION_REQUEST" display="https://pixhawk.ethz.ch/mavlink/ - MISSION_REQUEST"/>
    <hyperlink ref="I36" r:id="rId13" location="MISSION_REQUEST" display="https://pixhawk.ethz.ch/mavlink/ - MISSION_REQUEST"/>
    <hyperlink ref="I25" r:id="rId14" location="MISSION_CLEAR_ALL" display="https://pixhawk.ethz.ch/mavlink/ - MISSION_CLEAR_ALL"/>
    <hyperlink ref="I30" r:id="rId15" location="MISSION_SET_CURRENT" display="https://pixhawk.ethz.ch/mavlink/ - MISSION_SET_CURRENT"/>
    <hyperlink ref="I26" r:id="rId16" location="MISSION_COUNT" display="https://pixhawk.ethz.ch/mavlink/ - MISSION_COUNT"/>
    <hyperlink ref="I31" r:id="rId17" location="MISSION_WRITE_PARTIAL_LIST" display="https://pixhawk.ethz.ch/mavlink/ - MISSION_WRITE_PARTIAL_LIST"/>
    <hyperlink ref="I27" r:id="rId18" location="MISSION_ITEM" display="https://pixhawk.ethz.ch/mavlink/ - MISSION_ITEM"/>
    <hyperlink ref="I37" r:id="rId19" location="PARAM_SET" display="https://pixhawk.ethz.ch/mavlink/ - PARAM_SET"/>
    <hyperlink ref="I23" r:id="rId20" location="HIL_STATE" display="https://pixhawk.ethz.ch/mavlink/ - HIL_STATE"/>
  </hyperlinks>
  <pageMargins left="0.7" right="0.7" top="0.75" bottom="0.75" header="0.3" footer="0.3"/>
  <pageSetup orientation="portrait" r:id="rId21"/>
  <legacyDrawing r:id="rId22"/>
  <extLst>
    <ext xmlns:x14="http://schemas.microsoft.com/office/spreadsheetml/2009/9/main" uri="{CCE6A557-97BC-4b89-ADB6-D9C93CAAB3DF}">
      <x14:dataValidations xmlns:xm="http://schemas.microsoft.com/office/excel/2006/main" count="3">
        <x14:dataValidation type="list" allowBlank="1" showInputMessage="1" showErrorMessage="1">
          <x14:formula1>
            <xm:f>Data!$A$2:$A$7</xm:f>
          </x14:formula1>
          <xm:sqref>N1 J3:Y65538</xm:sqref>
        </x14:dataValidation>
        <x14:dataValidation type="list" allowBlank="1" showInputMessage="1" showErrorMessage="1">
          <x14:formula1>
            <xm:f>Data!$E$2:$E$4</xm:f>
          </x14:formula1>
          <xm:sqref>A1:A1048576</xm:sqref>
        </x14:dataValidation>
        <x14:dataValidation type="list" allowBlank="1" showInputMessage="1" showErrorMessage="1">
          <x14:formula1>
            <xm:f>Data!$C$2:$C$7</xm:f>
          </x14:formula1>
          <xm:sqref>G1:G1048576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J8"/>
  <sheetViews>
    <sheetView workbookViewId="0">
      <selection activeCell="F4" sqref="F4"/>
    </sheetView>
  </sheetViews>
  <sheetFormatPr defaultRowHeight="14.25"/>
  <cols>
    <col min="9" max="9" width="11.125" bestFit="1" customWidth="1"/>
  </cols>
  <sheetData>
    <row r="3" spans="2:10" ht="15">
      <c r="B3" s="33" t="s">
        <v>441</v>
      </c>
      <c r="C3" s="33"/>
      <c r="D3" s="33"/>
      <c r="H3" s="33" t="s">
        <v>442</v>
      </c>
      <c r="I3" s="33"/>
      <c r="J3" s="33"/>
    </row>
    <row r="4" spans="2:10">
      <c r="B4" t="str">
        <f>Data!A2</f>
        <v>AWM</v>
      </c>
      <c r="C4" s="5">
        <f>(COUNTIF('MAVLink Type Enumerations_bad'!D3:D164,Status!B4)+COUNTIF('MAVLink Type Enumerations_bad'!E3:E164,Status!B4)+COUNTIF('MAVLink Type Enumerations_bad'!F3:F164,Status!B4)+COUNTIF('MAVLink Type Enumerations_bad'!G3:G164,Status!B4))/(4*COUNTA('MAVLink Type Enumerations_bad'!C3:C164))</f>
        <v>0.60559006211180122</v>
      </c>
      <c r="H4" t="str">
        <f>Data!A2</f>
        <v>AWM</v>
      </c>
      <c r="I4" s="5">
        <f>(COUNTIF('MAVLink Messages_bad'!D3:D74,Status!H4)+COUNTIF('MAVLink Messages_bad'!E3:E74,Status!H4)+COUNTIF('MAVLink Messages_bad'!F3:F74,Status!H4)+COUNTIF('MAVLink Messages_bad'!G3:G74,Status!H4))/(4*COUNTA('MAVLink Messages_bad'!A4:A74))</f>
        <v>0.53169014084507038</v>
      </c>
    </row>
    <row r="5" spans="2:10">
      <c r="B5" t="str">
        <f>Data!A3</f>
        <v>CNLD</v>
      </c>
      <c r="C5" s="5">
        <f>(COUNTIF('MAVLink Type Enumerations_bad'!D4:D165,Status!B5)+COUNTIF('MAVLink Type Enumerations_bad'!E4:E165,Status!B5)+COUNTIF('MAVLink Type Enumerations_bad'!F4:F165,Status!B5)+COUNTIF('MAVLink Type Enumerations_bad'!G4:G165,Status!B5))/(4*COUNTA('MAVLink Type Enumerations_bad'!C4:C165))</f>
        <v>0.36024844720496896</v>
      </c>
      <c r="H5" t="str">
        <f>Data!A3</f>
        <v>CNLD</v>
      </c>
      <c r="I5" s="5">
        <f>(COUNTIF('MAVLink Messages_bad'!D4:D75,Status!H5)+COUNTIF('MAVLink Messages_bad'!E4:E75,Status!H5)+COUNTIF('MAVLink Messages_bad'!F4:F75,Status!H5)+COUNTIF('MAVLink Messages_bad'!G4:G75,Status!H5))/(4*COUNTA('MAVLink Messages_bad'!A5:A75))</f>
        <v>0.43661971830985913</v>
      </c>
    </row>
    <row r="6" spans="2:10">
      <c r="B6" t="str">
        <f>Data!A4</f>
        <v>DONE</v>
      </c>
      <c r="C6" s="5">
        <f>(COUNTIF('MAVLink Type Enumerations_bad'!D5:D166,Status!B6)+COUNTIF('MAVLink Type Enumerations_bad'!E5:E166,Status!B6)+COUNTIF('MAVLink Type Enumerations_bad'!F5:F166,Status!B6)+COUNTIF('MAVLink Type Enumerations_bad'!G5:G166,Status!B6))/(4*COUNTA('MAVLink Type Enumerations_bad'!C5:C166))</f>
        <v>0</v>
      </c>
      <c r="H6" t="str">
        <f>Data!A4</f>
        <v>DONE</v>
      </c>
      <c r="I6" s="5">
        <f>(COUNTIF('MAVLink Messages_bad'!D5:D76,Status!H6)+COUNTIF('MAVLink Messages_bad'!E5:E76,Status!H6)+COUNTIF('MAVLink Messages_bad'!F5:F76,Status!H6)+COUNTIF('MAVLink Messages_bad'!G5:G76,Status!H6))/(4*COUNTA('MAVLink Messages_bad'!A6:A76))</f>
        <v>3.873239436619718E-2</v>
      </c>
    </row>
    <row r="7" spans="2:10">
      <c r="B7" t="str">
        <f>Data!A5</f>
        <v>HOLD</v>
      </c>
      <c r="C7" s="5">
        <f>(COUNTIF('MAVLink Type Enumerations_bad'!D6:D167,Status!B7)+COUNTIF('MAVLink Type Enumerations_bad'!E6:E167,Status!B7)+COUNTIF('MAVLink Type Enumerations_bad'!F6:F167,Status!B7)+COUNTIF('MAVLink Type Enumerations_bad'!G6:G167,Status!B7))/(4*COUNTA('MAVLink Type Enumerations_bad'!C6:C167))</f>
        <v>3.7267080745341616E-2</v>
      </c>
      <c r="H7" t="str">
        <f>Data!A5</f>
        <v>HOLD</v>
      </c>
      <c r="I7" s="5">
        <f>(COUNTIF('MAVLink Messages_bad'!D6:D77,Status!H7)+COUNTIF('MAVLink Messages_bad'!E6:E77,Status!H7)+COUNTIF('MAVLink Messages_bad'!F6:F77,Status!H7)+COUNTIF('MAVLink Messages_bad'!G6:G77,Status!H7))/(4*COUNTA('MAVLink Messages_bad'!A7:A77))</f>
        <v>3.5211267605633804E-3</v>
      </c>
    </row>
    <row r="8" spans="2:10">
      <c r="B8" t="str">
        <f>Data!A6</f>
        <v>INW</v>
      </c>
      <c r="C8" s="5">
        <f>(COUNTIF('MAVLink Type Enumerations_bad'!D7:D168,Status!B8)+COUNTIF('MAVLink Type Enumerations_bad'!E7:E168,Status!B8)+COUNTIF('MAVLink Type Enumerations_bad'!F7:F168,Status!B8)+COUNTIF('MAVLink Type Enumerations_bad'!G7:G168,Status!B8))/(4*COUNTA('MAVLink Type Enumerations_bad'!C7:C168))</f>
        <v>0</v>
      </c>
      <c r="H8" t="str">
        <f>Data!A6</f>
        <v>INW</v>
      </c>
      <c r="I8" s="5">
        <f>(COUNTIF('MAVLink Messages_bad'!D7:D78,Status!H8)+COUNTIF('MAVLink Messages_bad'!E7:E78,Status!H8)+COUNTIF('MAVLink Messages_bad'!F7:F78,Status!H8)+COUNTIF('MAVLink Messages_bad'!G7:G78,Status!H8))/(4*COUNTA('MAVLink Messages_bad'!A8:A78))</f>
        <v>0</v>
      </c>
    </row>
  </sheetData>
  <mergeCells count="2">
    <mergeCell ref="B3:D3"/>
    <mergeCell ref="H3:J3"/>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7"/>
  <sheetViews>
    <sheetView workbookViewId="0">
      <selection activeCell="C6" sqref="C6"/>
    </sheetView>
  </sheetViews>
  <sheetFormatPr defaultRowHeight="14.25"/>
  <cols>
    <col min="3" max="3" width="15.125" bestFit="1" customWidth="1"/>
    <col min="5" max="5" width="10.875" bestFit="1" customWidth="1"/>
  </cols>
  <sheetData>
    <row r="1" spans="1:5" ht="15">
      <c r="A1" s="4" t="s">
        <v>436</v>
      </c>
      <c r="C1" s="4" t="s">
        <v>449</v>
      </c>
      <c r="E1" s="4" t="s">
        <v>503</v>
      </c>
    </row>
    <row r="2" spans="1:5">
      <c r="A2" t="s">
        <v>438</v>
      </c>
      <c r="C2" t="s">
        <v>451</v>
      </c>
      <c r="E2" t="s">
        <v>507</v>
      </c>
    </row>
    <row r="3" spans="1:5">
      <c r="A3" t="s">
        <v>437</v>
      </c>
      <c r="C3" t="s">
        <v>452</v>
      </c>
      <c r="E3" t="s">
        <v>508</v>
      </c>
    </row>
    <row r="4" spans="1:5">
      <c r="A4" t="s">
        <v>440</v>
      </c>
      <c r="C4" t="s">
        <v>454</v>
      </c>
      <c r="E4" t="s">
        <v>505</v>
      </c>
    </row>
    <row r="5" spans="1:5">
      <c r="A5" t="s">
        <v>443</v>
      </c>
      <c r="C5" t="s">
        <v>539</v>
      </c>
    </row>
    <row r="6" spans="1:5">
      <c r="A6" t="s">
        <v>439</v>
      </c>
      <c r="C6" t="s">
        <v>453</v>
      </c>
    </row>
    <row r="7" spans="1:5">
      <c r="A7" t="s">
        <v>506</v>
      </c>
      <c r="C7" t="s">
        <v>450</v>
      </c>
    </row>
  </sheetData>
  <autoFilter ref="A1:A6">
    <sortState ref="A2:A7">
      <sortCondition ref="A1:A6"/>
    </sortState>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6"/>
  <sheetViews>
    <sheetView workbookViewId="0">
      <selection activeCell="C16" sqref="C16"/>
    </sheetView>
  </sheetViews>
  <sheetFormatPr defaultRowHeight="14.25"/>
  <cols>
    <col min="1" max="1" width="15.375" bestFit="1" customWidth="1"/>
    <col min="2" max="2" width="15.125" bestFit="1" customWidth="1"/>
    <col min="3" max="3" width="15.125" customWidth="1"/>
    <col min="4" max="7" width="9.125" style="10"/>
    <col min="8" max="8" width="18.75" style="11" bestFit="1" customWidth="1"/>
    <col min="9" max="9" width="40" style="12" bestFit="1" customWidth="1"/>
  </cols>
  <sheetData>
    <row r="1" spans="1:9" ht="15">
      <c r="D1" s="34" t="s">
        <v>464</v>
      </c>
      <c r="E1" s="34"/>
      <c r="F1" s="34" t="s">
        <v>465</v>
      </c>
      <c r="G1" s="34"/>
      <c r="H1" s="13"/>
    </row>
    <row r="2" spans="1:9" ht="15">
      <c r="A2" s="2" t="s">
        <v>3</v>
      </c>
      <c r="B2" s="2" t="s">
        <v>302</v>
      </c>
      <c r="C2" s="2" t="s">
        <v>469</v>
      </c>
      <c r="D2" s="9" t="s">
        <v>434</v>
      </c>
      <c r="E2" s="9" t="s">
        <v>435</v>
      </c>
      <c r="F2" s="9" t="s">
        <v>434</v>
      </c>
      <c r="G2" s="9" t="s">
        <v>435</v>
      </c>
      <c r="H2" s="14" t="s">
        <v>8</v>
      </c>
      <c r="I2" s="7" t="s">
        <v>476</v>
      </c>
    </row>
    <row r="3" spans="1:9">
      <c r="A3" t="s">
        <v>466</v>
      </c>
      <c r="B3" t="s">
        <v>470</v>
      </c>
      <c r="D3" s="10" t="s">
        <v>438</v>
      </c>
      <c r="E3" s="10" t="s">
        <v>437</v>
      </c>
      <c r="F3" s="10" t="s">
        <v>437</v>
      </c>
      <c r="G3" s="10" t="s">
        <v>440</v>
      </c>
      <c r="H3" s="11" t="s">
        <v>480</v>
      </c>
      <c r="I3" s="12" t="s">
        <v>477</v>
      </c>
    </row>
    <row r="4" spans="1:9">
      <c r="A4" t="s">
        <v>467</v>
      </c>
      <c r="B4" t="s">
        <v>471</v>
      </c>
      <c r="D4" s="10" t="s">
        <v>438</v>
      </c>
      <c r="E4" s="10" t="s">
        <v>437</v>
      </c>
      <c r="F4" s="10" t="s">
        <v>437</v>
      </c>
      <c r="G4" s="10" t="s">
        <v>440</v>
      </c>
      <c r="H4" s="11" t="s">
        <v>481</v>
      </c>
      <c r="I4" s="12" t="s">
        <v>486</v>
      </c>
    </row>
    <row r="5" spans="1:9">
      <c r="A5" t="s">
        <v>468</v>
      </c>
      <c r="B5" t="s">
        <v>470</v>
      </c>
      <c r="D5" s="10" t="s">
        <v>438</v>
      </c>
      <c r="E5" s="10" t="s">
        <v>437</v>
      </c>
      <c r="F5" s="10" t="s">
        <v>437</v>
      </c>
      <c r="G5" s="10" t="s">
        <v>440</v>
      </c>
      <c r="H5" s="11" t="s">
        <v>482</v>
      </c>
      <c r="I5" s="12" t="s">
        <v>478</v>
      </c>
    </row>
    <row r="6" spans="1:9">
      <c r="A6" t="s">
        <v>473</v>
      </c>
      <c r="B6" t="s">
        <v>450</v>
      </c>
      <c r="D6" s="10" t="s">
        <v>437</v>
      </c>
      <c r="E6" s="10" t="s">
        <v>438</v>
      </c>
      <c r="F6" s="10" t="s">
        <v>438</v>
      </c>
      <c r="G6" s="10" t="s">
        <v>437</v>
      </c>
      <c r="H6" s="11" t="s">
        <v>483</v>
      </c>
      <c r="I6" s="12" t="s">
        <v>487</v>
      </c>
    </row>
    <row r="7" spans="1:9">
      <c r="A7" t="s">
        <v>474</v>
      </c>
      <c r="B7" t="s">
        <v>472</v>
      </c>
      <c r="D7" s="10" t="s">
        <v>438</v>
      </c>
      <c r="E7" s="10" t="s">
        <v>438</v>
      </c>
      <c r="F7" s="10" t="s">
        <v>438</v>
      </c>
      <c r="G7" s="10" t="s">
        <v>440</v>
      </c>
      <c r="H7" s="11" t="s">
        <v>472</v>
      </c>
      <c r="I7" s="12" t="s">
        <v>488</v>
      </c>
    </row>
    <row r="8" spans="1:9">
      <c r="A8" t="s">
        <v>475</v>
      </c>
      <c r="B8" t="s">
        <v>436</v>
      </c>
      <c r="D8" s="10" t="s">
        <v>438</v>
      </c>
      <c r="E8" s="10" t="s">
        <v>438</v>
      </c>
      <c r="F8" s="10" t="s">
        <v>440</v>
      </c>
      <c r="G8" s="10" t="s">
        <v>440</v>
      </c>
      <c r="H8" s="11" t="s">
        <v>484</v>
      </c>
      <c r="I8" s="12" t="s">
        <v>489</v>
      </c>
    </row>
    <row r="9" spans="1:9">
      <c r="A9" t="s">
        <v>479</v>
      </c>
      <c r="B9" t="s">
        <v>436</v>
      </c>
      <c r="D9" s="10" t="s">
        <v>438</v>
      </c>
      <c r="E9" s="10" t="s">
        <v>438</v>
      </c>
      <c r="F9" s="10" t="s">
        <v>438</v>
      </c>
      <c r="G9" s="10" t="s">
        <v>440</v>
      </c>
      <c r="H9" s="11" t="s">
        <v>485</v>
      </c>
    </row>
    <row r="10" spans="1:9">
      <c r="A10" t="s">
        <v>490</v>
      </c>
      <c r="B10" t="s">
        <v>496</v>
      </c>
      <c r="D10" s="10" t="s">
        <v>438</v>
      </c>
      <c r="E10" s="10" t="s">
        <v>437</v>
      </c>
      <c r="F10" s="10" t="s">
        <v>437</v>
      </c>
      <c r="G10" s="10" t="s">
        <v>440</v>
      </c>
    </row>
    <row r="11" spans="1:9">
      <c r="A11" t="s">
        <v>491</v>
      </c>
      <c r="B11" t="s">
        <v>496</v>
      </c>
      <c r="D11" s="10" t="s">
        <v>438</v>
      </c>
      <c r="E11" s="10" t="s">
        <v>437</v>
      </c>
      <c r="F11" s="10" t="s">
        <v>437</v>
      </c>
      <c r="G11" s="10" t="s">
        <v>440</v>
      </c>
    </row>
    <row r="12" spans="1:9">
      <c r="A12" t="s">
        <v>492</v>
      </c>
      <c r="B12" t="s">
        <v>496</v>
      </c>
      <c r="D12" s="10" t="s">
        <v>438</v>
      </c>
      <c r="E12" s="10" t="s">
        <v>437</v>
      </c>
      <c r="F12" s="10" t="s">
        <v>437</v>
      </c>
      <c r="G12" s="10" t="s">
        <v>440</v>
      </c>
    </row>
    <row r="13" spans="1:9">
      <c r="A13" t="s">
        <v>493</v>
      </c>
      <c r="B13" t="s">
        <v>496</v>
      </c>
      <c r="D13" s="10" t="s">
        <v>438</v>
      </c>
      <c r="E13" s="10" t="s">
        <v>437</v>
      </c>
      <c r="F13" s="10" t="s">
        <v>437</v>
      </c>
      <c r="G13" s="10" t="s">
        <v>440</v>
      </c>
    </row>
    <row r="14" spans="1:9">
      <c r="A14" t="s">
        <v>494</v>
      </c>
      <c r="B14" t="s">
        <v>496</v>
      </c>
      <c r="D14" s="10" t="s">
        <v>438</v>
      </c>
      <c r="E14" s="10" t="s">
        <v>437</v>
      </c>
      <c r="F14" s="10" t="s">
        <v>437</v>
      </c>
      <c r="G14" s="10" t="s">
        <v>440</v>
      </c>
    </row>
    <row r="15" spans="1:9">
      <c r="A15" t="s">
        <v>495</v>
      </c>
      <c r="B15" t="s">
        <v>496</v>
      </c>
      <c r="D15" s="10" t="s">
        <v>438</v>
      </c>
      <c r="E15" s="10" t="s">
        <v>437</v>
      </c>
      <c r="F15" s="10" t="s">
        <v>437</v>
      </c>
      <c r="G15" s="10" t="s">
        <v>440</v>
      </c>
    </row>
    <row r="16" spans="1:9">
      <c r="A16" t="s">
        <v>497</v>
      </c>
      <c r="B16" t="s">
        <v>496</v>
      </c>
      <c r="D16" s="10" t="s">
        <v>438</v>
      </c>
      <c r="E16" s="10" t="s">
        <v>437</v>
      </c>
      <c r="F16" s="10" t="s">
        <v>437</v>
      </c>
      <c r="G16" s="10" t="s">
        <v>440</v>
      </c>
    </row>
  </sheetData>
  <mergeCells count="2">
    <mergeCell ref="D1:E1"/>
    <mergeCell ref="F1:G1"/>
  </mergeCells>
  <conditionalFormatting sqref="H7:H8 I3:I4 I6 D1:G1048576">
    <cfRule type="cellIs" dxfId="50" priority="4" stopIfTrue="1" operator="equal">
      <formula>"AWM"</formula>
    </cfRule>
    <cfRule type="cellIs" dxfId="49" priority="5" stopIfTrue="1" operator="equal">
      <formula>"DONE"</formula>
    </cfRule>
    <cfRule type="cellIs" dxfId="48" priority="6" stopIfTrue="1" operator="equal">
      <formula>"CNLD"</formula>
    </cfRule>
  </conditionalFormatting>
  <conditionalFormatting sqref="I5">
    <cfRule type="cellIs" dxfId="47" priority="1" stopIfTrue="1" operator="equal">
      <formula>"AWM"</formula>
    </cfRule>
    <cfRule type="cellIs" dxfId="46" priority="2" stopIfTrue="1" operator="equal">
      <formula>"DONE"</formula>
    </cfRule>
    <cfRule type="cellIs" dxfId="45" priority="3" stopIfTrue="1" operator="equal">
      <formula>"CNLD"</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H167"/>
  <sheetViews>
    <sheetView zoomScaleNormal="100" workbookViewId="0">
      <pane ySplit="2" topLeftCell="A3" activePane="bottomLeft" state="frozen"/>
      <selection pane="bottomLeft" activeCell="C20" sqref="C20"/>
    </sheetView>
  </sheetViews>
  <sheetFormatPr defaultRowHeight="14.25"/>
  <cols>
    <col min="1" max="1" width="29" bestFit="1" customWidth="1"/>
    <col min="2" max="2" width="6.875" bestFit="1" customWidth="1"/>
    <col min="3" max="3" width="38.125" style="1" customWidth="1"/>
    <col min="4" max="4" width="16.75" style="6" bestFit="1" customWidth="1"/>
    <col min="5" max="5" width="16.75" style="6" customWidth="1"/>
    <col min="6" max="6" width="17.875" style="6" bestFit="1" customWidth="1"/>
    <col min="7" max="7" width="17.875" style="6" customWidth="1"/>
    <col min="8" max="8" width="54.625" style="1" customWidth="1"/>
  </cols>
  <sheetData>
    <row r="1" spans="1:8" ht="15">
      <c r="D1" s="34" t="s">
        <v>2</v>
      </c>
      <c r="E1" s="34"/>
      <c r="F1" s="34" t="s">
        <v>1</v>
      </c>
      <c r="G1" s="34"/>
    </row>
    <row r="2" spans="1:8" s="2" customFormat="1" ht="15">
      <c r="A2" s="2" t="s">
        <v>0</v>
      </c>
      <c r="B2" s="2" t="s">
        <v>4</v>
      </c>
      <c r="C2" s="3" t="s">
        <v>6</v>
      </c>
      <c r="D2" s="7" t="s">
        <v>434</v>
      </c>
      <c r="E2" s="7" t="s">
        <v>435</v>
      </c>
      <c r="F2" s="7" t="s">
        <v>434</v>
      </c>
      <c r="G2" s="7" t="s">
        <v>435</v>
      </c>
      <c r="H2" s="3" t="s">
        <v>8</v>
      </c>
    </row>
    <row r="3" spans="1:8">
      <c r="A3" t="s">
        <v>5</v>
      </c>
      <c r="B3">
        <v>0</v>
      </c>
      <c r="C3" s="1" t="s">
        <v>7</v>
      </c>
      <c r="D3" s="6" t="s">
        <v>437</v>
      </c>
      <c r="E3" s="6" t="s">
        <v>438</v>
      </c>
      <c r="F3" s="6" t="s">
        <v>438</v>
      </c>
      <c r="G3" s="6" t="s">
        <v>437</v>
      </c>
      <c r="H3" s="1" t="s">
        <v>9</v>
      </c>
    </row>
    <row r="4" spans="1:8">
      <c r="A4" t="s">
        <v>5</v>
      </c>
      <c r="B4">
        <v>3</v>
      </c>
      <c r="C4" s="1" t="s">
        <v>10</v>
      </c>
      <c r="D4" s="6" t="s">
        <v>437</v>
      </c>
      <c r="E4" s="6" t="s">
        <v>438</v>
      </c>
      <c r="F4" s="6" t="s">
        <v>438</v>
      </c>
      <c r="G4" s="6" t="s">
        <v>437</v>
      </c>
      <c r="H4" s="1" t="s">
        <v>11</v>
      </c>
    </row>
    <row r="5" spans="1:8">
      <c r="A5" t="s">
        <v>5</v>
      </c>
      <c r="B5">
        <v>8</v>
      </c>
      <c r="C5" s="1" t="s">
        <v>12</v>
      </c>
      <c r="D5" s="6" t="s">
        <v>438</v>
      </c>
      <c r="E5" s="6" t="s">
        <v>438</v>
      </c>
      <c r="F5" s="6" t="s">
        <v>438</v>
      </c>
      <c r="G5" s="6" t="s">
        <v>438</v>
      </c>
      <c r="H5" s="1" t="s">
        <v>13</v>
      </c>
    </row>
    <row r="6" spans="1:8">
      <c r="A6" t="s">
        <v>133</v>
      </c>
      <c r="B6">
        <v>16</v>
      </c>
      <c r="C6" s="1" t="s">
        <v>134</v>
      </c>
      <c r="D6" s="6" t="s">
        <v>438</v>
      </c>
      <c r="E6" s="6" t="s">
        <v>437</v>
      </c>
      <c r="F6" s="6" t="s">
        <v>437</v>
      </c>
      <c r="G6" s="6" t="s">
        <v>438</v>
      </c>
      <c r="H6" s="1" t="s">
        <v>135</v>
      </c>
    </row>
    <row r="7" spans="1:8">
      <c r="A7" t="s">
        <v>133</v>
      </c>
      <c r="B7">
        <v>17</v>
      </c>
      <c r="C7" s="1" t="s">
        <v>136</v>
      </c>
      <c r="D7" s="6" t="s">
        <v>438</v>
      </c>
      <c r="E7" s="6" t="s">
        <v>437</v>
      </c>
      <c r="F7" s="6" t="s">
        <v>437</v>
      </c>
      <c r="G7" s="6" t="s">
        <v>438</v>
      </c>
      <c r="H7" s="1" t="s">
        <v>137</v>
      </c>
    </row>
    <row r="8" spans="1:8">
      <c r="A8" t="s">
        <v>133</v>
      </c>
      <c r="B8">
        <v>18</v>
      </c>
      <c r="C8" s="1" t="s">
        <v>138</v>
      </c>
      <c r="D8" s="6" t="s">
        <v>438</v>
      </c>
      <c r="E8" s="6" t="s">
        <v>437</v>
      </c>
      <c r="F8" s="6" t="s">
        <v>437</v>
      </c>
      <c r="G8" s="6" t="s">
        <v>438</v>
      </c>
      <c r="H8" s="1" t="s">
        <v>139</v>
      </c>
    </row>
    <row r="9" spans="1:8">
      <c r="A9" t="s">
        <v>133</v>
      </c>
      <c r="B9">
        <v>19</v>
      </c>
      <c r="C9" s="1" t="s">
        <v>140</v>
      </c>
      <c r="D9" s="6" t="s">
        <v>438</v>
      </c>
      <c r="E9" s="6" t="s">
        <v>437</v>
      </c>
      <c r="F9" s="6" t="s">
        <v>437</v>
      </c>
      <c r="G9" s="6" t="s">
        <v>438</v>
      </c>
      <c r="H9" s="1" t="s">
        <v>141</v>
      </c>
    </row>
    <row r="10" spans="1:8">
      <c r="A10" t="s">
        <v>133</v>
      </c>
      <c r="B10">
        <v>20</v>
      </c>
      <c r="C10" s="1" t="s">
        <v>142</v>
      </c>
      <c r="D10" s="6" t="s">
        <v>438</v>
      </c>
      <c r="E10" s="6" t="s">
        <v>437</v>
      </c>
      <c r="F10" s="6" t="s">
        <v>437</v>
      </c>
      <c r="G10" s="6" t="s">
        <v>438</v>
      </c>
      <c r="H10" s="1" t="s">
        <v>143</v>
      </c>
    </row>
    <row r="11" spans="1:8">
      <c r="A11" t="s">
        <v>133</v>
      </c>
      <c r="B11">
        <v>21</v>
      </c>
      <c r="C11" s="1" t="s">
        <v>144</v>
      </c>
      <c r="D11" s="6" t="s">
        <v>438</v>
      </c>
      <c r="E11" s="6" t="s">
        <v>437</v>
      </c>
      <c r="F11" s="6" t="s">
        <v>437</v>
      </c>
      <c r="G11" s="6" t="s">
        <v>438</v>
      </c>
      <c r="H11" s="1" t="s">
        <v>145</v>
      </c>
    </row>
    <row r="12" spans="1:8">
      <c r="A12" t="s">
        <v>133</v>
      </c>
      <c r="B12">
        <v>22</v>
      </c>
      <c r="C12" s="1" t="s">
        <v>146</v>
      </c>
      <c r="D12" s="6" t="s">
        <v>438</v>
      </c>
      <c r="E12" s="6" t="s">
        <v>437</v>
      </c>
      <c r="F12" s="6" t="s">
        <v>437</v>
      </c>
      <c r="G12" s="6" t="s">
        <v>438</v>
      </c>
      <c r="H12" s="1" t="s">
        <v>147</v>
      </c>
    </row>
    <row r="13" spans="1:8" ht="57">
      <c r="A13" t="s">
        <v>133</v>
      </c>
      <c r="B13">
        <v>80</v>
      </c>
      <c r="C13" s="1" t="s">
        <v>148</v>
      </c>
      <c r="D13" s="6" t="s">
        <v>438</v>
      </c>
      <c r="E13" s="6" t="s">
        <v>437</v>
      </c>
      <c r="F13" s="6" t="s">
        <v>437</v>
      </c>
      <c r="G13" s="6" t="s">
        <v>438</v>
      </c>
      <c r="H13" s="1" t="s">
        <v>149</v>
      </c>
    </row>
    <row r="14" spans="1:8">
      <c r="A14" t="s">
        <v>133</v>
      </c>
      <c r="B14">
        <v>81</v>
      </c>
      <c r="C14" s="1" t="s">
        <v>150</v>
      </c>
      <c r="D14" s="6" t="s">
        <v>438</v>
      </c>
      <c r="E14" s="6" t="s">
        <v>437</v>
      </c>
      <c r="F14" s="6" t="s">
        <v>437</v>
      </c>
      <c r="G14" s="6" t="s">
        <v>438</v>
      </c>
      <c r="H14" s="1" t="s">
        <v>151</v>
      </c>
    </row>
    <row r="15" spans="1:8" ht="28.5">
      <c r="A15" t="s">
        <v>133</v>
      </c>
      <c r="B15">
        <v>95</v>
      </c>
      <c r="C15" s="1" t="s">
        <v>152</v>
      </c>
      <c r="D15" s="6" t="s">
        <v>438</v>
      </c>
      <c r="E15" s="6" t="s">
        <v>437</v>
      </c>
      <c r="F15" s="6" t="s">
        <v>437</v>
      </c>
      <c r="G15" s="6" t="s">
        <v>438</v>
      </c>
      <c r="H15" s="1" t="s">
        <v>153</v>
      </c>
    </row>
    <row r="16" spans="1:8">
      <c r="A16" t="s">
        <v>133</v>
      </c>
      <c r="B16">
        <v>112</v>
      </c>
      <c r="C16" s="1" t="s">
        <v>154</v>
      </c>
      <c r="D16" s="6" t="s">
        <v>438</v>
      </c>
      <c r="E16" s="6" t="s">
        <v>437</v>
      </c>
      <c r="F16" s="6" t="s">
        <v>437</v>
      </c>
      <c r="G16" s="6" t="s">
        <v>438</v>
      </c>
      <c r="H16" s="1" t="s">
        <v>155</v>
      </c>
    </row>
    <row r="17" spans="1:8" ht="28.5">
      <c r="A17" t="s">
        <v>133</v>
      </c>
      <c r="B17">
        <v>113</v>
      </c>
      <c r="C17" s="1" t="s">
        <v>156</v>
      </c>
      <c r="D17" s="6" t="s">
        <v>438</v>
      </c>
      <c r="E17" s="6" t="s">
        <v>437</v>
      </c>
      <c r="F17" s="6" t="s">
        <v>437</v>
      </c>
      <c r="G17" s="6" t="s">
        <v>438</v>
      </c>
      <c r="H17" s="1" t="s">
        <v>157</v>
      </c>
    </row>
    <row r="18" spans="1:8" ht="28.5">
      <c r="A18" t="s">
        <v>133</v>
      </c>
      <c r="B18">
        <v>114</v>
      </c>
      <c r="C18" s="1" t="s">
        <v>158</v>
      </c>
      <c r="D18" s="6" t="s">
        <v>438</v>
      </c>
      <c r="E18" s="6" t="s">
        <v>437</v>
      </c>
      <c r="F18" s="6" t="s">
        <v>437</v>
      </c>
      <c r="G18" s="6" t="s">
        <v>438</v>
      </c>
      <c r="H18" s="1" t="s">
        <v>159</v>
      </c>
    </row>
    <row r="19" spans="1:8">
      <c r="A19" t="s">
        <v>133</v>
      </c>
      <c r="B19">
        <v>115</v>
      </c>
      <c r="C19" s="1" t="s">
        <v>160</v>
      </c>
      <c r="D19" s="6" t="s">
        <v>438</v>
      </c>
      <c r="E19" s="6" t="s">
        <v>437</v>
      </c>
      <c r="F19" s="6" t="s">
        <v>437</v>
      </c>
      <c r="G19" s="6" t="s">
        <v>438</v>
      </c>
      <c r="H19" s="1" t="s">
        <v>161</v>
      </c>
    </row>
    <row r="20" spans="1:8" ht="28.5">
      <c r="A20" t="s">
        <v>133</v>
      </c>
      <c r="B20">
        <v>159</v>
      </c>
      <c r="C20" s="1" t="s">
        <v>162</v>
      </c>
      <c r="D20" s="6" t="s">
        <v>438</v>
      </c>
      <c r="E20" s="6" t="s">
        <v>437</v>
      </c>
      <c r="F20" s="6" t="s">
        <v>437</v>
      </c>
      <c r="G20" s="6" t="s">
        <v>438</v>
      </c>
      <c r="H20" s="1" t="s">
        <v>163</v>
      </c>
    </row>
    <row r="21" spans="1:8">
      <c r="A21" t="s">
        <v>133</v>
      </c>
      <c r="B21">
        <v>176</v>
      </c>
      <c r="C21" s="1" t="s">
        <v>164</v>
      </c>
      <c r="D21" s="6" t="s">
        <v>438</v>
      </c>
      <c r="E21" s="6" t="s">
        <v>437</v>
      </c>
      <c r="F21" s="6" t="s">
        <v>437</v>
      </c>
      <c r="G21" s="6" t="s">
        <v>438</v>
      </c>
      <c r="H21" s="1" t="s">
        <v>165</v>
      </c>
    </row>
    <row r="22" spans="1:8" ht="28.5">
      <c r="A22" t="s">
        <v>133</v>
      </c>
      <c r="B22">
        <v>177</v>
      </c>
      <c r="C22" s="1" t="s">
        <v>166</v>
      </c>
      <c r="D22" s="6" t="s">
        <v>438</v>
      </c>
      <c r="E22" s="6" t="s">
        <v>437</v>
      </c>
      <c r="F22" s="6" t="s">
        <v>437</v>
      </c>
      <c r="G22" s="6" t="s">
        <v>438</v>
      </c>
      <c r="H22" s="1" t="s">
        <v>167</v>
      </c>
    </row>
    <row r="23" spans="1:8">
      <c r="A23" t="s">
        <v>133</v>
      </c>
      <c r="B23">
        <v>178</v>
      </c>
      <c r="C23" s="1" t="s">
        <v>168</v>
      </c>
      <c r="D23" s="6" t="s">
        <v>438</v>
      </c>
      <c r="E23" s="6" t="s">
        <v>437</v>
      </c>
      <c r="F23" s="6" t="s">
        <v>437</v>
      </c>
      <c r="G23" s="6" t="s">
        <v>438</v>
      </c>
      <c r="H23" s="1" t="s">
        <v>169</v>
      </c>
    </row>
    <row r="24" spans="1:8" ht="28.5">
      <c r="A24" t="s">
        <v>133</v>
      </c>
      <c r="B24">
        <v>179</v>
      </c>
      <c r="C24" s="1" t="s">
        <v>170</v>
      </c>
      <c r="D24" s="6" t="s">
        <v>438</v>
      </c>
      <c r="E24" s="6" t="s">
        <v>437</v>
      </c>
      <c r="F24" s="6" t="s">
        <v>437</v>
      </c>
      <c r="G24" s="6" t="s">
        <v>438</v>
      </c>
      <c r="H24" s="1" t="s">
        <v>171</v>
      </c>
    </row>
    <row r="25" spans="1:8" ht="42.75">
      <c r="A25" t="s">
        <v>133</v>
      </c>
      <c r="B25">
        <v>180</v>
      </c>
      <c r="C25" s="1" t="s">
        <v>172</v>
      </c>
      <c r="D25" s="6" t="s">
        <v>438</v>
      </c>
      <c r="E25" s="6" t="s">
        <v>437</v>
      </c>
      <c r="F25" s="6" t="s">
        <v>437</v>
      </c>
      <c r="G25" s="6" t="s">
        <v>438</v>
      </c>
      <c r="H25" s="1" t="s">
        <v>173</v>
      </c>
    </row>
    <row r="26" spans="1:8">
      <c r="A26" t="s">
        <v>133</v>
      </c>
      <c r="B26">
        <v>181</v>
      </c>
      <c r="C26" s="1" t="s">
        <v>174</v>
      </c>
      <c r="D26" s="6" t="s">
        <v>438</v>
      </c>
      <c r="E26" s="6" t="s">
        <v>437</v>
      </c>
      <c r="F26" s="6" t="s">
        <v>437</v>
      </c>
      <c r="G26" s="6" t="s">
        <v>438</v>
      </c>
      <c r="H26" s="1" t="s">
        <v>175</v>
      </c>
    </row>
    <row r="27" spans="1:8" ht="28.5">
      <c r="A27" t="s">
        <v>133</v>
      </c>
      <c r="B27">
        <v>182</v>
      </c>
      <c r="C27" s="1" t="s">
        <v>176</v>
      </c>
      <c r="D27" s="6" t="s">
        <v>438</v>
      </c>
      <c r="E27" s="6" t="s">
        <v>437</v>
      </c>
      <c r="F27" s="6" t="s">
        <v>437</v>
      </c>
      <c r="G27" s="6" t="s">
        <v>438</v>
      </c>
      <c r="H27" s="1" t="s">
        <v>177</v>
      </c>
    </row>
    <row r="28" spans="1:8">
      <c r="A28" t="s">
        <v>133</v>
      </c>
      <c r="B28">
        <v>183</v>
      </c>
      <c r="C28" s="1" t="s">
        <v>178</v>
      </c>
      <c r="D28" s="6" t="s">
        <v>438</v>
      </c>
      <c r="E28" s="6" t="s">
        <v>437</v>
      </c>
      <c r="F28" s="6" t="s">
        <v>437</v>
      </c>
      <c r="G28" s="6" t="s">
        <v>438</v>
      </c>
      <c r="H28" s="1" t="s">
        <v>179</v>
      </c>
    </row>
    <row r="29" spans="1:8" ht="28.5">
      <c r="A29" t="s">
        <v>133</v>
      </c>
      <c r="B29">
        <v>184</v>
      </c>
      <c r="C29" s="1" t="s">
        <v>180</v>
      </c>
      <c r="D29" s="6" t="s">
        <v>438</v>
      </c>
      <c r="E29" s="6" t="s">
        <v>437</v>
      </c>
      <c r="F29" s="6" t="s">
        <v>437</v>
      </c>
      <c r="G29" s="6" t="s">
        <v>438</v>
      </c>
      <c r="H29" s="1" t="s">
        <v>181</v>
      </c>
    </row>
    <row r="30" spans="1:8">
      <c r="A30" t="s">
        <v>133</v>
      </c>
      <c r="B30">
        <v>200</v>
      </c>
      <c r="C30" s="1" t="s">
        <v>182</v>
      </c>
      <c r="D30" s="6" t="s">
        <v>438</v>
      </c>
      <c r="E30" s="6" t="s">
        <v>437</v>
      </c>
      <c r="F30" s="6" t="s">
        <v>437</v>
      </c>
      <c r="G30" s="6" t="s">
        <v>438</v>
      </c>
      <c r="H30" s="1" t="s">
        <v>183</v>
      </c>
    </row>
    <row r="31" spans="1:8" ht="28.5">
      <c r="A31" t="s">
        <v>133</v>
      </c>
      <c r="B31">
        <v>240</v>
      </c>
      <c r="C31" s="1" t="s">
        <v>184</v>
      </c>
      <c r="D31" s="6" t="s">
        <v>438</v>
      </c>
      <c r="E31" s="6" t="s">
        <v>437</v>
      </c>
      <c r="F31" s="6" t="s">
        <v>437</v>
      </c>
      <c r="G31" s="6" t="s">
        <v>438</v>
      </c>
      <c r="H31" s="1" t="s">
        <v>185</v>
      </c>
    </row>
    <row r="32" spans="1:8" ht="28.5">
      <c r="A32" t="s">
        <v>133</v>
      </c>
      <c r="B32">
        <v>241</v>
      </c>
      <c r="C32" s="1" t="s">
        <v>186</v>
      </c>
      <c r="D32" s="6" t="s">
        <v>438</v>
      </c>
      <c r="E32" s="6" t="s">
        <v>437</v>
      </c>
      <c r="F32" s="6" t="s">
        <v>437</v>
      </c>
      <c r="G32" s="6" t="s">
        <v>438</v>
      </c>
      <c r="H32" s="1" t="s">
        <v>187</v>
      </c>
    </row>
    <row r="33" spans="1:8" ht="28.5">
      <c r="A33" t="s">
        <v>133</v>
      </c>
      <c r="B33">
        <v>242</v>
      </c>
      <c r="C33" s="1" t="s">
        <v>188</v>
      </c>
      <c r="D33" s="6" t="s">
        <v>438</v>
      </c>
      <c r="E33" s="6" t="s">
        <v>437</v>
      </c>
      <c r="F33" s="6" t="s">
        <v>437</v>
      </c>
      <c r="G33" s="6" t="s">
        <v>438</v>
      </c>
      <c r="H33" s="1" t="s">
        <v>189</v>
      </c>
    </row>
    <row r="34" spans="1:8" ht="28.5">
      <c r="A34" t="s">
        <v>133</v>
      </c>
      <c r="B34">
        <v>245</v>
      </c>
      <c r="C34" s="1" t="s">
        <v>190</v>
      </c>
      <c r="D34" s="6" t="s">
        <v>438</v>
      </c>
      <c r="E34" s="6" t="s">
        <v>437</v>
      </c>
      <c r="F34" s="6" t="s">
        <v>437</v>
      </c>
      <c r="G34" s="6" t="s">
        <v>438</v>
      </c>
      <c r="H34" s="1" t="s">
        <v>191</v>
      </c>
    </row>
    <row r="35" spans="1:8" ht="28.5">
      <c r="A35" t="s">
        <v>133</v>
      </c>
      <c r="B35">
        <v>246</v>
      </c>
      <c r="C35" s="1" t="s">
        <v>192</v>
      </c>
      <c r="D35" s="6" t="s">
        <v>438</v>
      </c>
      <c r="E35" s="6" t="s">
        <v>437</v>
      </c>
      <c r="F35" s="6" t="s">
        <v>437</v>
      </c>
      <c r="G35" s="6" t="s">
        <v>438</v>
      </c>
      <c r="H35" s="1" t="s">
        <v>193</v>
      </c>
    </row>
    <row r="36" spans="1:8">
      <c r="A36" t="s">
        <v>133</v>
      </c>
      <c r="B36">
        <v>252</v>
      </c>
      <c r="C36" s="1" t="s">
        <v>194</v>
      </c>
      <c r="D36" s="6" t="s">
        <v>438</v>
      </c>
      <c r="E36" s="6" t="s">
        <v>437</v>
      </c>
      <c r="F36" s="6" t="s">
        <v>437</v>
      </c>
      <c r="G36" s="6" t="s">
        <v>438</v>
      </c>
      <c r="H36" s="1" t="s">
        <v>195</v>
      </c>
    </row>
    <row r="37" spans="1:8">
      <c r="A37" t="s">
        <v>133</v>
      </c>
      <c r="B37">
        <v>300</v>
      </c>
      <c r="C37" s="1" t="s">
        <v>196</v>
      </c>
      <c r="D37" s="6" t="s">
        <v>438</v>
      </c>
      <c r="E37" s="6" t="s">
        <v>437</v>
      </c>
      <c r="F37" s="6" t="s">
        <v>437</v>
      </c>
      <c r="G37" s="6" t="s">
        <v>438</v>
      </c>
      <c r="H37" s="1" t="s">
        <v>197</v>
      </c>
    </row>
    <row r="38" spans="1:8">
      <c r="A38" t="s">
        <v>226</v>
      </c>
      <c r="C38" s="1" t="s">
        <v>227</v>
      </c>
      <c r="D38" s="6" t="s">
        <v>438</v>
      </c>
      <c r="E38" s="6" t="s">
        <v>438</v>
      </c>
      <c r="F38" s="6" t="s">
        <v>438</v>
      </c>
      <c r="G38" s="6" t="s">
        <v>438</v>
      </c>
      <c r="H38" s="1" t="s">
        <v>228</v>
      </c>
    </row>
    <row r="39" spans="1:8" ht="28.5">
      <c r="A39" t="s">
        <v>226</v>
      </c>
      <c r="C39" s="1" t="s">
        <v>233</v>
      </c>
      <c r="D39" s="6" t="s">
        <v>438</v>
      </c>
      <c r="E39" s="6" t="s">
        <v>438</v>
      </c>
      <c r="F39" s="6" t="s">
        <v>438</v>
      </c>
      <c r="G39" s="6" t="s">
        <v>438</v>
      </c>
      <c r="H39" s="1" t="s">
        <v>234</v>
      </c>
    </row>
    <row r="40" spans="1:8" ht="28.5">
      <c r="A40" t="s">
        <v>226</v>
      </c>
      <c r="C40" s="1" t="s">
        <v>229</v>
      </c>
      <c r="D40" s="6" t="s">
        <v>438</v>
      </c>
      <c r="E40" s="6" t="s">
        <v>438</v>
      </c>
      <c r="F40" s="6" t="s">
        <v>438</v>
      </c>
      <c r="G40" s="6" t="s">
        <v>438</v>
      </c>
      <c r="H40" s="1" t="s">
        <v>230</v>
      </c>
    </row>
    <row r="41" spans="1:8" ht="28.5">
      <c r="A41" t="s">
        <v>226</v>
      </c>
      <c r="C41" s="1" t="s">
        <v>235</v>
      </c>
      <c r="D41" s="6" t="s">
        <v>437</v>
      </c>
      <c r="E41" s="6" t="s">
        <v>438</v>
      </c>
      <c r="F41" s="6" t="s">
        <v>438</v>
      </c>
      <c r="G41" s="6" t="s">
        <v>437</v>
      </c>
      <c r="H41" s="1" t="s">
        <v>236</v>
      </c>
    </row>
    <row r="42" spans="1:8" ht="57">
      <c r="A42" t="s">
        <v>226</v>
      </c>
      <c r="C42" s="1" t="s">
        <v>237</v>
      </c>
      <c r="D42" s="6" t="s">
        <v>437</v>
      </c>
      <c r="E42" s="6" t="s">
        <v>438</v>
      </c>
      <c r="F42" s="6" t="s">
        <v>438</v>
      </c>
      <c r="G42" s="6" t="s">
        <v>437</v>
      </c>
      <c r="H42" s="1" t="s">
        <v>238</v>
      </c>
    </row>
    <row r="43" spans="1:8" ht="28.5">
      <c r="A43" t="s">
        <v>226</v>
      </c>
      <c r="C43" s="1" t="s">
        <v>231</v>
      </c>
      <c r="D43" s="6" t="s">
        <v>437</v>
      </c>
      <c r="E43" s="6" t="s">
        <v>438</v>
      </c>
      <c r="F43" s="6" t="s">
        <v>438</v>
      </c>
      <c r="G43" s="6" t="s">
        <v>437</v>
      </c>
      <c r="H43" s="1" t="s">
        <v>232</v>
      </c>
    </row>
    <row r="44" spans="1:8" ht="28.5">
      <c r="A44" t="s">
        <v>226</v>
      </c>
      <c r="C44" s="1" t="s">
        <v>239</v>
      </c>
      <c r="D44" s="6" t="s">
        <v>437</v>
      </c>
      <c r="E44" s="6" t="s">
        <v>438</v>
      </c>
      <c r="F44" s="6" t="s">
        <v>438</v>
      </c>
      <c r="G44" s="6" t="s">
        <v>437</v>
      </c>
      <c r="H44" s="1" t="s">
        <v>240</v>
      </c>
    </row>
    <row r="45" spans="1:8" ht="28.5">
      <c r="A45" t="s">
        <v>226</v>
      </c>
      <c r="C45" s="1" t="s">
        <v>241</v>
      </c>
      <c r="D45" s="6" t="s">
        <v>437</v>
      </c>
      <c r="E45" s="6" t="s">
        <v>438</v>
      </c>
      <c r="F45" s="6" t="s">
        <v>438</v>
      </c>
      <c r="G45" s="6" t="s">
        <v>437</v>
      </c>
      <c r="H45" s="1" t="s">
        <v>242</v>
      </c>
    </row>
    <row r="46" spans="1:8" ht="28.5">
      <c r="A46" t="s">
        <v>226</v>
      </c>
      <c r="C46" s="1" t="s">
        <v>243</v>
      </c>
      <c r="D46" s="6" t="s">
        <v>437</v>
      </c>
      <c r="E46" s="6" t="s">
        <v>438</v>
      </c>
      <c r="F46" s="6" t="s">
        <v>438</v>
      </c>
      <c r="G46" s="6" t="s">
        <v>437</v>
      </c>
      <c r="H46" s="1" t="s">
        <v>244</v>
      </c>
    </row>
    <row r="47" spans="1:8">
      <c r="A47" t="s">
        <v>88</v>
      </c>
      <c r="B47">
        <v>0</v>
      </c>
      <c r="C47" s="1" t="s">
        <v>89</v>
      </c>
      <c r="D47" s="6" t="s">
        <v>437</v>
      </c>
      <c r="E47" s="6" t="s">
        <v>438</v>
      </c>
      <c r="F47" s="6" t="s">
        <v>438</v>
      </c>
      <c r="G47" s="6" t="s">
        <v>437</v>
      </c>
    </row>
    <row r="48" spans="1:8">
      <c r="A48" t="s">
        <v>88</v>
      </c>
      <c r="B48">
        <v>100</v>
      </c>
      <c r="C48" s="1" t="s">
        <v>94</v>
      </c>
      <c r="D48" s="6" t="s">
        <v>437</v>
      </c>
      <c r="E48" s="6" t="s">
        <v>438</v>
      </c>
      <c r="F48" s="6" t="s">
        <v>438</v>
      </c>
      <c r="G48" s="6" t="s">
        <v>437</v>
      </c>
    </row>
    <row r="49" spans="1:7">
      <c r="A49" t="s">
        <v>88</v>
      </c>
      <c r="B49">
        <v>140</v>
      </c>
      <c r="C49" s="1" t="s">
        <v>101</v>
      </c>
      <c r="D49" s="6" t="s">
        <v>437</v>
      </c>
      <c r="E49" s="6" t="s">
        <v>438</v>
      </c>
      <c r="F49" s="6" t="s">
        <v>438</v>
      </c>
      <c r="G49" s="6" t="s">
        <v>437</v>
      </c>
    </row>
    <row r="50" spans="1:7">
      <c r="A50" t="s">
        <v>88</v>
      </c>
      <c r="B50">
        <v>141</v>
      </c>
      <c r="C50" s="1" t="s">
        <v>102</v>
      </c>
      <c r="D50" s="6" t="s">
        <v>437</v>
      </c>
      <c r="E50" s="6" t="s">
        <v>438</v>
      </c>
      <c r="F50" s="6" t="s">
        <v>438</v>
      </c>
      <c r="G50" s="6" t="s">
        <v>437</v>
      </c>
    </row>
    <row r="51" spans="1:7">
      <c r="A51" t="s">
        <v>88</v>
      </c>
      <c r="B51">
        <v>142</v>
      </c>
      <c r="C51" s="1" t="s">
        <v>103</v>
      </c>
      <c r="D51" s="6" t="s">
        <v>437</v>
      </c>
      <c r="E51" s="6" t="s">
        <v>438</v>
      </c>
      <c r="F51" s="6" t="s">
        <v>438</v>
      </c>
      <c r="G51" s="6" t="s">
        <v>437</v>
      </c>
    </row>
    <row r="52" spans="1:7">
      <c r="A52" t="s">
        <v>88</v>
      </c>
      <c r="B52">
        <v>143</v>
      </c>
      <c r="C52" s="1" t="s">
        <v>104</v>
      </c>
      <c r="D52" s="6" t="s">
        <v>437</v>
      </c>
      <c r="E52" s="6" t="s">
        <v>438</v>
      </c>
      <c r="F52" s="6" t="s">
        <v>438</v>
      </c>
      <c r="G52" s="6" t="s">
        <v>437</v>
      </c>
    </row>
    <row r="53" spans="1:7">
      <c r="A53" t="s">
        <v>88</v>
      </c>
      <c r="B53">
        <v>144</v>
      </c>
      <c r="C53" s="1" t="s">
        <v>105</v>
      </c>
      <c r="D53" s="6" t="s">
        <v>437</v>
      </c>
      <c r="E53" s="6" t="s">
        <v>438</v>
      </c>
      <c r="F53" s="6" t="s">
        <v>438</v>
      </c>
      <c r="G53" s="6" t="s">
        <v>437</v>
      </c>
    </row>
    <row r="54" spans="1:7">
      <c r="A54" t="s">
        <v>88</v>
      </c>
      <c r="B54">
        <v>145</v>
      </c>
      <c r="C54" s="1" t="s">
        <v>106</v>
      </c>
      <c r="D54" s="6" t="s">
        <v>437</v>
      </c>
      <c r="E54" s="6" t="s">
        <v>438</v>
      </c>
      <c r="F54" s="6" t="s">
        <v>438</v>
      </c>
      <c r="G54" s="6" t="s">
        <v>437</v>
      </c>
    </row>
    <row r="55" spans="1:7">
      <c r="A55" t="s">
        <v>88</v>
      </c>
      <c r="B55">
        <v>146</v>
      </c>
      <c r="C55" s="1" t="s">
        <v>107</v>
      </c>
      <c r="D55" s="6" t="s">
        <v>437</v>
      </c>
      <c r="E55" s="6" t="s">
        <v>438</v>
      </c>
      <c r="F55" s="6" t="s">
        <v>438</v>
      </c>
      <c r="G55" s="6" t="s">
        <v>437</v>
      </c>
    </row>
    <row r="56" spans="1:7">
      <c r="A56" t="s">
        <v>88</v>
      </c>
      <c r="B56">
        <v>147</v>
      </c>
      <c r="C56" s="1" t="s">
        <v>108</v>
      </c>
      <c r="D56" s="6" t="s">
        <v>437</v>
      </c>
      <c r="E56" s="6" t="s">
        <v>438</v>
      </c>
      <c r="F56" s="6" t="s">
        <v>438</v>
      </c>
      <c r="G56" s="6" t="s">
        <v>437</v>
      </c>
    </row>
    <row r="57" spans="1:7">
      <c r="A57" t="s">
        <v>88</v>
      </c>
      <c r="B57">
        <v>148</v>
      </c>
      <c r="C57" s="1" t="s">
        <v>109</v>
      </c>
      <c r="D57" s="6" t="s">
        <v>437</v>
      </c>
      <c r="E57" s="6" t="s">
        <v>438</v>
      </c>
      <c r="F57" s="6" t="s">
        <v>438</v>
      </c>
      <c r="G57" s="6" t="s">
        <v>437</v>
      </c>
    </row>
    <row r="58" spans="1:7">
      <c r="A58" t="s">
        <v>88</v>
      </c>
      <c r="B58">
        <v>149</v>
      </c>
      <c r="C58" s="1" t="s">
        <v>110</v>
      </c>
      <c r="D58" s="6" t="s">
        <v>437</v>
      </c>
      <c r="E58" s="6" t="s">
        <v>438</v>
      </c>
      <c r="F58" s="6" t="s">
        <v>438</v>
      </c>
      <c r="G58" s="6" t="s">
        <v>437</v>
      </c>
    </row>
    <row r="59" spans="1:7">
      <c r="A59" t="s">
        <v>88</v>
      </c>
      <c r="B59">
        <v>150</v>
      </c>
      <c r="C59" s="1" t="s">
        <v>111</v>
      </c>
      <c r="D59" s="6" t="s">
        <v>437</v>
      </c>
      <c r="E59" s="6" t="s">
        <v>438</v>
      </c>
      <c r="F59" s="6" t="s">
        <v>438</v>
      </c>
      <c r="G59" s="6" t="s">
        <v>437</v>
      </c>
    </row>
    <row r="60" spans="1:7">
      <c r="A60" t="s">
        <v>88</v>
      </c>
      <c r="B60">
        <v>151</v>
      </c>
      <c r="C60" s="1" t="s">
        <v>112</v>
      </c>
      <c r="D60" s="6" t="s">
        <v>437</v>
      </c>
      <c r="E60" s="6" t="s">
        <v>438</v>
      </c>
      <c r="F60" s="6" t="s">
        <v>438</v>
      </c>
      <c r="G60" s="6" t="s">
        <v>437</v>
      </c>
    </row>
    <row r="61" spans="1:7">
      <c r="A61" t="s">
        <v>88</v>
      </c>
      <c r="B61">
        <v>152</v>
      </c>
      <c r="C61" s="1" t="s">
        <v>113</v>
      </c>
      <c r="D61" s="6" t="s">
        <v>437</v>
      </c>
      <c r="E61" s="6" t="s">
        <v>438</v>
      </c>
      <c r="F61" s="6" t="s">
        <v>438</v>
      </c>
      <c r="G61" s="6" t="s">
        <v>437</v>
      </c>
    </row>
    <row r="62" spans="1:7">
      <c r="A62" t="s">
        <v>88</v>
      </c>
      <c r="B62">
        <v>153</v>
      </c>
      <c r="C62" s="1" t="s">
        <v>114</v>
      </c>
      <c r="D62" s="6" t="s">
        <v>437</v>
      </c>
      <c r="E62" s="6" t="s">
        <v>438</v>
      </c>
      <c r="F62" s="6" t="s">
        <v>438</v>
      </c>
      <c r="G62" s="6" t="s">
        <v>437</v>
      </c>
    </row>
    <row r="63" spans="1:7">
      <c r="A63" t="s">
        <v>88</v>
      </c>
      <c r="B63">
        <v>180</v>
      </c>
      <c r="C63" s="1" t="s">
        <v>93</v>
      </c>
      <c r="D63" s="6" t="s">
        <v>437</v>
      </c>
      <c r="E63" s="6" t="s">
        <v>438</v>
      </c>
      <c r="F63" s="6" t="s">
        <v>438</v>
      </c>
      <c r="G63" s="6" t="s">
        <v>437</v>
      </c>
    </row>
    <row r="64" spans="1:7">
      <c r="A64" t="s">
        <v>88</v>
      </c>
      <c r="B64">
        <v>190</v>
      </c>
      <c r="C64" s="1" t="s">
        <v>91</v>
      </c>
      <c r="D64" s="6" t="s">
        <v>438</v>
      </c>
      <c r="E64" s="6" t="s">
        <v>438</v>
      </c>
      <c r="F64" s="6" t="s">
        <v>438</v>
      </c>
      <c r="G64" s="6" t="s">
        <v>438</v>
      </c>
    </row>
    <row r="65" spans="1:8">
      <c r="A65" t="s">
        <v>88</v>
      </c>
      <c r="B65">
        <v>195</v>
      </c>
      <c r="C65" s="1" t="s">
        <v>92</v>
      </c>
      <c r="D65" s="6" t="s">
        <v>438</v>
      </c>
      <c r="E65" s="6" t="s">
        <v>438</v>
      </c>
      <c r="F65" s="6" t="s">
        <v>438</v>
      </c>
      <c r="G65" s="6" t="s">
        <v>438</v>
      </c>
    </row>
    <row r="66" spans="1:8">
      <c r="A66" t="s">
        <v>88</v>
      </c>
      <c r="B66">
        <v>200</v>
      </c>
      <c r="C66" s="1" t="s">
        <v>95</v>
      </c>
      <c r="D66" s="6" t="s">
        <v>437</v>
      </c>
      <c r="E66" s="6" t="s">
        <v>438</v>
      </c>
      <c r="F66" s="6" t="s">
        <v>438</v>
      </c>
      <c r="G66" s="6" t="s">
        <v>437</v>
      </c>
    </row>
    <row r="67" spans="1:8">
      <c r="A67" t="s">
        <v>88</v>
      </c>
      <c r="B67">
        <v>201</v>
      </c>
      <c r="C67" s="1" t="s">
        <v>96</v>
      </c>
      <c r="D67" s="6" t="s">
        <v>437</v>
      </c>
      <c r="E67" s="6" t="s">
        <v>438</v>
      </c>
      <c r="F67" s="6" t="s">
        <v>438</v>
      </c>
      <c r="G67" s="6" t="s">
        <v>437</v>
      </c>
    </row>
    <row r="68" spans="1:8">
      <c r="A68" t="s">
        <v>88</v>
      </c>
      <c r="B68">
        <v>202</v>
      </c>
      <c r="C68" s="1" t="s">
        <v>97</v>
      </c>
      <c r="D68" s="6" t="s">
        <v>437</v>
      </c>
      <c r="E68" s="6" t="s">
        <v>438</v>
      </c>
      <c r="F68" s="6" t="s">
        <v>438</v>
      </c>
      <c r="G68" s="6" t="s">
        <v>437</v>
      </c>
    </row>
    <row r="69" spans="1:8">
      <c r="A69" t="s">
        <v>88</v>
      </c>
      <c r="B69">
        <v>220</v>
      </c>
      <c r="C69" s="1" t="s">
        <v>90</v>
      </c>
      <c r="D69" s="6" t="s">
        <v>437</v>
      </c>
      <c r="E69" s="6" t="s">
        <v>438</v>
      </c>
      <c r="F69" s="6" t="s">
        <v>438</v>
      </c>
      <c r="G69" s="6" t="s">
        <v>437</v>
      </c>
    </row>
    <row r="70" spans="1:8">
      <c r="A70" t="s">
        <v>88</v>
      </c>
      <c r="B70">
        <v>240</v>
      </c>
      <c r="C70" s="1" t="s">
        <v>98</v>
      </c>
      <c r="D70" s="6" t="s">
        <v>437</v>
      </c>
      <c r="E70" s="6" t="s">
        <v>438</v>
      </c>
      <c r="F70" s="6" t="s">
        <v>438</v>
      </c>
      <c r="G70" s="6" t="s">
        <v>437</v>
      </c>
    </row>
    <row r="71" spans="1:8">
      <c r="A71" t="s">
        <v>88</v>
      </c>
      <c r="B71">
        <v>241</v>
      </c>
      <c r="C71" s="1" t="s">
        <v>99</v>
      </c>
      <c r="D71" s="6" t="s">
        <v>437</v>
      </c>
      <c r="E71" s="6" t="s">
        <v>438</v>
      </c>
      <c r="F71" s="6" t="s">
        <v>438</v>
      </c>
      <c r="G71" s="6" t="s">
        <v>437</v>
      </c>
    </row>
    <row r="72" spans="1:8">
      <c r="A72" t="s">
        <v>88</v>
      </c>
      <c r="B72">
        <v>250</v>
      </c>
      <c r="C72" s="1" t="s">
        <v>100</v>
      </c>
      <c r="D72" s="6" t="s">
        <v>438</v>
      </c>
      <c r="E72" s="6" t="s">
        <v>438</v>
      </c>
      <c r="F72" s="6" t="s">
        <v>438</v>
      </c>
      <c r="G72" s="6" t="s">
        <v>438</v>
      </c>
    </row>
    <row r="73" spans="1:8">
      <c r="A73" t="s">
        <v>88</v>
      </c>
      <c r="B73">
        <v>1</v>
      </c>
      <c r="C73" s="1" t="s">
        <v>446</v>
      </c>
      <c r="D73" s="6" t="s">
        <v>443</v>
      </c>
      <c r="E73" s="6" t="s">
        <v>443</v>
      </c>
      <c r="F73" s="6" t="s">
        <v>443</v>
      </c>
      <c r="G73" s="6" t="s">
        <v>443</v>
      </c>
      <c r="H73" s="1" t="s">
        <v>445</v>
      </c>
    </row>
    <row r="74" spans="1:8">
      <c r="A74" t="s">
        <v>88</v>
      </c>
      <c r="B74">
        <v>2</v>
      </c>
      <c r="C74" s="1" t="s">
        <v>447</v>
      </c>
      <c r="D74" s="6" t="s">
        <v>443</v>
      </c>
      <c r="E74" s="6" t="s">
        <v>443</v>
      </c>
      <c r="F74" s="6" t="s">
        <v>443</v>
      </c>
      <c r="G74" s="6" t="s">
        <v>443</v>
      </c>
      <c r="H74" s="1" t="s">
        <v>445</v>
      </c>
    </row>
    <row r="75" spans="1:8">
      <c r="A75" t="s">
        <v>88</v>
      </c>
      <c r="B75">
        <v>3</v>
      </c>
      <c r="C75" s="1" t="s">
        <v>448</v>
      </c>
      <c r="D75" s="6" t="s">
        <v>443</v>
      </c>
      <c r="E75" s="6" t="s">
        <v>443</v>
      </c>
      <c r="F75" s="6" t="s">
        <v>443</v>
      </c>
      <c r="G75" s="6" t="s">
        <v>443</v>
      </c>
      <c r="H75" s="1" t="s">
        <v>445</v>
      </c>
    </row>
    <row r="76" spans="1:8">
      <c r="A76" t="s">
        <v>214</v>
      </c>
      <c r="B76">
        <v>0</v>
      </c>
      <c r="C76" s="1" t="s">
        <v>198</v>
      </c>
      <c r="D76" s="6" t="s">
        <v>438</v>
      </c>
      <c r="E76" s="6" t="s">
        <v>438</v>
      </c>
      <c r="F76" s="6" t="s">
        <v>438</v>
      </c>
      <c r="G76" s="6" t="s">
        <v>438</v>
      </c>
      <c r="H76" s="1" t="s">
        <v>199</v>
      </c>
    </row>
    <row r="77" spans="1:8">
      <c r="A77" t="s">
        <v>214</v>
      </c>
      <c r="B77">
        <v>1</v>
      </c>
      <c r="C77" s="1" t="s">
        <v>200</v>
      </c>
      <c r="D77" s="6" t="s">
        <v>438</v>
      </c>
      <c r="E77" s="6" t="s">
        <v>437</v>
      </c>
      <c r="F77" s="6" t="s">
        <v>437</v>
      </c>
      <c r="G77" s="6" t="s">
        <v>438</v>
      </c>
      <c r="H77" s="1" t="s">
        <v>201</v>
      </c>
    </row>
    <row r="78" spans="1:8" ht="28.5">
      <c r="A78" t="s">
        <v>214</v>
      </c>
      <c r="B78">
        <v>2</v>
      </c>
      <c r="C78" s="1" t="s">
        <v>202</v>
      </c>
      <c r="D78" s="6" t="s">
        <v>438</v>
      </c>
      <c r="E78" s="6" t="s">
        <v>437</v>
      </c>
      <c r="F78" s="6" t="s">
        <v>437</v>
      </c>
      <c r="G78" s="6" t="s">
        <v>438</v>
      </c>
      <c r="H78" s="1" t="s">
        <v>203</v>
      </c>
    </row>
    <row r="79" spans="1:8" ht="28.5">
      <c r="A79" t="s">
        <v>214</v>
      </c>
      <c r="B79">
        <v>3</v>
      </c>
      <c r="C79" s="1" t="s">
        <v>204</v>
      </c>
      <c r="D79" s="6" t="s">
        <v>438</v>
      </c>
      <c r="E79" s="6" t="s">
        <v>437</v>
      </c>
      <c r="F79" s="6" t="s">
        <v>437</v>
      </c>
      <c r="G79" s="6" t="s">
        <v>438</v>
      </c>
      <c r="H79" s="1" t="s">
        <v>205</v>
      </c>
    </row>
    <row r="80" spans="1:8" ht="42.75">
      <c r="A80" t="s">
        <v>214</v>
      </c>
      <c r="B80">
        <v>4</v>
      </c>
      <c r="C80" s="1" t="s">
        <v>206</v>
      </c>
      <c r="D80" s="6" t="s">
        <v>438</v>
      </c>
      <c r="E80" s="6" t="s">
        <v>437</v>
      </c>
      <c r="F80" s="6" t="s">
        <v>437</v>
      </c>
      <c r="G80" s="6" t="s">
        <v>438</v>
      </c>
      <c r="H80" s="1" t="s">
        <v>207</v>
      </c>
    </row>
    <row r="81" spans="1:8" ht="28.5">
      <c r="A81" t="s">
        <v>214</v>
      </c>
      <c r="B81">
        <v>6</v>
      </c>
      <c r="C81" s="1" t="s">
        <v>208</v>
      </c>
      <c r="D81" s="6" t="s">
        <v>438</v>
      </c>
      <c r="E81" s="6" t="s">
        <v>437</v>
      </c>
      <c r="F81" s="6" t="s">
        <v>437</v>
      </c>
      <c r="G81" s="6" t="s">
        <v>438</v>
      </c>
      <c r="H81" s="1" t="s">
        <v>209</v>
      </c>
    </row>
    <row r="82" spans="1:8">
      <c r="A82" t="s">
        <v>214</v>
      </c>
      <c r="B82">
        <v>10</v>
      </c>
      <c r="C82" s="1" t="s">
        <v>210</v>
      </c>
      <c r="D82" s="6" t="s">
        <v>438</v>
      </c>
      <c r="E82" s="6" t="s">
        <v>438</v>
      </c>
      <c r="F82" s="6" t="s">
        <v>438</v>
      </c>
      <c r="G82" s="6" t="s">
        <v>438</v>
      </c>
      <c r="H82" s="1" t="s">
        <v>211</v>
      </c>
    </row>
    <row r="83" spans="1:8">
      <c r="A83" t="s">
        <v>214</v>
      </c>
      <c r="B83">
        <v>11</v>
      </c>
      <c r="C83" s="1" t="s">
        <v>212</v>
      </c>
      <c r="D83" s="6" t="s">
        <v>438</v>
      </c>
      <c r="E83" s="6" t="s">
        <v>438</v>
      </c>
      <c r="F83" s="6" t="s">
        <v>438</v>
      </c>
      <c r="G83" s="6" t="s">
        <v>438</v>
      </c>
      <c r="H83" s="1" t="s">
        <v>211</v>
      </c>
    </row>
    <row r="84" spans="1:8">
      <c r="A84" t="s">
        <v>214</v>
      </c>
      <c r="B84">
        <v>12</v>
      </c>
      <c r="C84" s="1" t="s">
        <v>213</v>
      </c>
      <c r="D84" s="6" t="s">
        <v>438</v>
      </c>
      <c r="E84" s="6" t="s">
        <v>438</v>
      </c>
      <c r="F84" s="6" t="s">
        <v>438</v>
      </c>
      <c r="G84" s="6" t="s">
        <v>438</v>
      </c>
      <c r="H84" s="1" t="s">
        <v>211</v>
      </c>
    </row>
    <row r="85" spans="1:8" ht="42.75">
      <c r="A85" t="s">
        <v>115</v>
      </c>
      <c r="B85">
        <v>0</v>
      </c>
      <c r="C85" s="1" t="s">
        <v>116</v>
      </c>
      <c r="D85" s="6" t="s">
        <v>438</v>
      </c>
      <c r="E85" s="6" t="s">
        <v>437</v>
      </c>
      <c r="F85" s="6" t="s">
        <v>437</v>
      </c>
      <c r="G85" s="6" t="s">
        <v>438</v>
      </c>
      <c r="H85" s="1" t="s">
        <v>117</v>
      </c>
    </row>
    <row r="86" spans="1:8">
      <c r="A86" t="s">
        <v>115</v>
      </c>
      <c r="B86">
        <v>1</v>
      </c>
      <c r="C86" s="1" t="s">
        <v>118</v>
      </c>
      <c r="D86" s="6" t="s">
        <v>438</v>
      </c>
      <c r="E86" s="6" t="s">
        <v>437</v>
      </c>
      <c r="F86" s="6" t="s">
        <v>437</v>
      </c>
      <c r="G86" s="6" t="s">
        <v>438</v>
      </c>
      <c r="H86" s="1" t="s">
        <v>119</v>
      </c>
    </row>
    <row r="87" spans="1:8">
      <c r="A87" t="s">
        <v>115</v>
      </c>
      <c r="B87">
        <v>2</v>
      </c>
      <c r="C87" s="1" t="s">
        <v>120</v>
      </c>
      <c r="D87" s="6" t="s">
        <v>438</v>
      </c>
      <c r="E87" s="6" t="s">
        <v>437</v>
      </c>
      <c r="F87" s="6" t="s">
        <v>437</v>
      </c>
      <c r="G87" s="6" t="s">
        <v>438</v>
      </c>
      <c r="H87" s="1" t="s">
        <v>121</v>
      </c>
    </row>
    <row r="88" spans="1:8" ht="57">
      <c r="A88" t="s">
        <v>115</v>
      </c>
      <c r="B88">
        <v>3</v>
      </c>
      <c r="C88" s="1" t="s">
        <v>122</v>
      </c>
      <c r="D88" s="6" t="s">
        <v>438</v>
      </c>
      <c r="E88" s="6" t="s">
        <v>437</v>
      </c>
      <c r="F88" s="6" t="s">
        <v>437</v>
      </c>
      <c r="G88" s="6" t="s">
        <v>438</v>
      </c>
      <c r="H88" s="1" t="s">
        <v>123</v>
      </c>
    </row>
    <row r="89" spans="1:8">
      <c r="A89" t="s">
        <v>115</v>
      </c>
      <c r="B89">
        <v>4</v>
      </c>
      <c r="C89" s="1" t="s">
        <v>124</v>
      </c>
      <c r="D89" s="6" t="s">
        <v>438</v>
      </c>
      <c r="E89" s="6" t="s">
        <v>437</v>
      </c>
      <c r="F89" s="6" t="s">
        <v>437</v>
      </c>
      <c r="G89" s="6" t="s">
        <v>438</v>
      </c>
      <c r="H89" s="1" t="s">
        <v>125</v>
      </c>
    </row>
    <row r="90" spans="1:8">
      <c r="A90" t="s">
        <v>39</v>
      </c>
      <c r="B90">
        <v>0</v>
      </c>
      <c r="C90" s="1" t="s">
        <v>31</v>
      </c>
      <c r="D90" s="6" t="s">
        <v>438</v>
      </c>
      <c r="E90" s="6" t="s">
        <v>437</v>
      </c>
      <c r="F90" s="6" t="s">
        <v>437</v>
      </c>
      <c r="G90" s="6" t="s">
        <v>438</v>
      </c>
      <c r="H90" s="1" t="s">
        <v>32</v>
      </c>
    </row>
    <row r="91" spans="1:8">
      <c r="A91" t="s">
        <v>39</v>
      </c>
      <c r="B91">
        <v>1</v>
      </c>
      <c r="C91" s="1" t="s">
        <v>33</v>
      </c>
      <c r="D91" s="6" t="s">
        <v>438</v>
      </c>
      <c r="E91" s="6" t="s">
        <v>437</v>
      </c>
      <c r="F91" s="6" t="s">
        <v>437</v>
      </c>
      <c r="G91" s="6" t="s">
        <v>438</v>
      </c>
      <c r="H91" s="1" t="s">
        <v>34</v>
      </c>
    </row>
    <row r="92" spans="1:8" ht="28.5">
      <c r="A92" t="s">
        <v>39</v>
      </c>
      <c r="B92">
        <v>2</v>
      </c>
      <c r="C92" s="1" t="s">
        <v>35</v>
      </c>
      <c r="D92" s="6" t="s">
        <v>438</v>
      </c>
      <c r="E92" s="6" t="s">
        <v>437</v>
      </c>
      <c r="F92" s="6" t="s">
        <v>437</v>
      </c>
      <c r="G92" s="6" t="s">
        <v>438</v>
      </c>
      <c r="H92" s="1" t="s">
        <v>36</v>
      </c>
    </row>
    <row r="93" spans="1:8" ht="28.5">
      <c r="A93" t="s">
        <v>39</v>
      </c>
      <c r="B93">
        <v>3</v>
      </c>
      <c r="C93" s="1" t="s">
        <v>37</v>
      </c>
      <c r="D93" s="6" t="s">
        <v>438</v>
      </c>
      <c r="E93" s="6" t="s">
        <v>437</v>
      </c>
      <c r="F93" s="6" t="s">
        <v>437</v>
      </c>
      <c r="G93" s="6" t="s">
        <v>438</v>
      </c>
      <c r="H93" s="1" t="s">
        <v>38</v>
      </c>
    </row>
    <row r="94" spans="1:8">
      <c r="A94" t="s">
        <v>271</v>
      </c>
      <c r="B94">
        <v>0</v>
      </c>
      <c r="C94" s="1" t="s">
        <v>272</v>
      </c>
      <c r="D94" s="6" t="s">
        <v>437</v>
      </c>
      <c r="E94" s="6" t="s">
        <v>438</v>
      </c>
      <c r="F94" s="6" t="s">
        <v>438</v>
      </c>
      <c r="G94" s="6" t="s">
        <v>437</v>
      </c>
      <c r="H94" s="1" t="s">
        <v>273</v>
      </c>
    </row>
    <row r="95" spans="1:8">
      <c r="A95" t="s">
        <v>271</v>
      </c>
      <c r="B95">
        <v>1</v>
      </c>
      <c r="C95" s="1" t="s">
        <v>274</v>
      </c>
      <c r="D95" s="6" t="s">
        <v>437</v>
      </c>
      <c r="E95" s="6" t="s">
        <v>438</v>
      </c>
      <c r="F95" s="6" t="s">
        <v>438</v>
      </c>
      <c r="G95" s="6" t="s">
        <v>437</v>
      </c>
      <c r="H95" s="1" t="s">
        <v>275</v>
      </c>
    </row>
    <row r="96" spans="1:8">
      <c r="A96" t="s">
        <v>271</v>
      </c>
      <c r="B96">
        <v>2</v>
      </c>
      <c r="C96" s="1" t="s">
        <v>276</v>
      </c>
      <c r="D96" s="6" t="s">
        <v>437</v>
      </c>
      <c r="E96" s="6" t="s">
        <v>438</v>
      </c>
      <c r="F96" s="6" t="s">
        <v>438</v>
      </c>
      <c r="G96" s="6" t="s">
        <v>437</v>
      </c>
      <c r="H96" s="1" t="s">
        <v>277</v>
      </c>
    </row>
    <row r="97" spans="1:8">
      <c r="A97" t="s">
        <v>271</v>
      </c>
      <c r="B97">
        <v>3</v>
      </c>
      <c r="C97" s="1" t="s">
        <v>278</v>
      </c>
      <c r="D97" s="6" t="s">
        <v>437</v>
      </c>
      <c r="E97" s="6" t="s">
        <v>438</v>
      </c>
      <c r="F97" s="6" t="s">
        <v>438</v>
      </c>
      <c r="G97" s="6" t="s">
        <v>437</v>
      </c>
      <c r="H97" s="1" t="s">
        <v>279</v>
      </c>
    </row>
    <row r="98" spans="1:8">
      <c r="A98" t="s">
        <v>271</v>
      </c>
      <c r="B98">
        <v>4</v>
      </c>
      <c r="C98" s="1" t="s">
        <v>280</v>
      </c>
      <c r="D98" s="6" t="s">
        <v>437</v>
      </c>
      <c r="E98" s="6" t="s">
        <v>438</v>
      </c>
      <c r="F98" s="6" t="s">
        <v>438</v>
      </c>
      <c r="G98" s="6" t="s">
        <v>437</v>
      </c>
      <c r="H98" s="1" t="s">
        <v>281</v>
      </c>
    </row>
    <row r="99" spans="1:8">
      <c r="A99" t="s">
        <v>271</v>
      </c>
      <c r="B99">
        <v>5</v>
      </c>
      <c r="C99" s="1" t="s">
        <v>282</v>
      </c>
      <c r="D99" s="6" t="s">
        <v>437</v>
      </c>
      <c r="E99" s="6" t="s">
        <v>438</v>
      </c>
      <c r="F99" s="6" t="s">
        <v>438</v>
      </c>
      <c r="G99" s="6" t="s">
        <v>437</v>
      </c>
      <c r="H99" s="1" t="s">
        <v>283</v>
      </c>
    </row>
    <row r="100" spans="1:8">
      <c r="A100" t="s">
        <v>271</v>
      </c>
      <c r="B100">
        <v>6</v>
      </c>
      <c r="C100" s="1" t="s">
        <v>284</v>
      </c>
      <c r="D100" s="6" t="s">
        <v>437</v>
      </c>
      <c r="E100" s="6" t="s">
        <v>438</v>
      </c>
      <c r="F100" s="6" t="s">
        <v>438</v>
      </c>
      <c r="G100" s="6" t="s">
        <v>437</v>
      </c>
      <c r="H100" s="1" t="s">
        <v>285</v>
      </c>
    </row>
    <row r="101" spans="1:8">
      <c r="A101" t="s">
        <v>271</v>
      </c>
      <c r="B101">
        <v>7</v>
      </c>
      <c r="C101" s="1" t="s">
        <v>286</v>
      </c>
      <c r="D101" s="6" t="s">
        <v>437</v>
      </c>
      <c r="E101" s="6" t="s">
        <v>438</v>
      </c>
      <c r="F101" s="6" t="s">
        <v>438</v>
      </c>
      <c r="G101" s="6" t="s">
        <v>437</v>
      </c>
      <c r="H101" s="1" t="s">
        <v>287</v>
      </c>
    </row>
    <row r="102" spans="1:8">
      <c r="A102" t="s">
        <v>271</v>
      </c>
      <c r="B102">
        <v>8</v>
      </c>
      <c r="C102" s="1" t="s">
        <v>288</v>
      </c>
      <c r="D102" s="6" t="s">
        <v>437</v>
      </c>
      <c r="E102" s="6" t="s">
        <v>438</v>
      </c>
      <c r="F102" s="6" t="s">
        <v>438</v>
      </c>
      <c r="G102" s="6" t="s">
        <v>437</v>
      </c>
      <c r="H102" s="1" t="s">
        <v>289</v>
      </c>
    </row>
    <row r="103" spans="1:8">
      <c r="A103" t="s">
        <v>271</v>
      </c>
      <c r="B103">
        <v>9</v>
      </c>
      <c r="C103" s="1" t="s">
        <v>290</v>
      </c>
      <c r="D103" s="6" t="s">
        <v>437</v>
      </c>
      <c r="E103" s="6" t="s">
        <v>438</v>
      </c>
      <c r="F103" s="6" t="s">
        <v>438</v>
      </c>
      <c r="G103" s="6" t="s">
        <v>437</v>
      </c>
      <c r="H103" s="1" t="s">
        <v>291</v>
      </c>
    </row>
    <row r="104" spans="1:8">
      <c r="A104" t="s">
        <v>271</v>
      </c>
      <c r="B104">
        <v>10</v>
      </c>
      <c r="C104" s="1" t="s">
        <v>292</v>
      </c>
      <c r="D104" s="6" t="s">
        <v>437</v>
      </c>
      <c r="E104" s="6" t="s">
        <v>438</v>
      </c>
      <c r="F104" s="6" t="s">
        <v>438</v>
      </c>
      <c r="G104" s="6" t="s">
        <v>437</v>
      </c>
      <c r="H104" s="1" t="s">
        <v>293</v>
      </c>
    </row>
    <row r="105" spans="1:8">
      <c r="A105" t="s">
        <v>271</v>
      </c>
      <c r="B105">
        <v>11</v>
      </c>
      <c r="C105" s="1" t="s">
        <v>294</v>
      </c>
      <c r="D105" s="6" t="s">
        <v>437</v>
      </c>
      <c r="E105" s="6" t="s">
        <v>438</v>
      </c>
      <c r="F105" s="6" t="s">
        <v>438</v>
      </c>
      <c r="G105" s="6" t="s">
        <v>437</v>
      </c>
      <c r="H105" s="1" t="s">
        <v>295</v>
      </c>
    </row>
    <row r="106" spans="1:8">
      <c r="A106" t="s">
        <v>271</v>
      </c>
      <c r="B106">
        <v>12</v>
      </c>
      <c r="C106" s="1" t="s">
        <v>296</v>
      </c>
      <c r="D106" s="6" t="s">
        <v>437</v>
      </c>
      <c r="E106" s="6" t="s">
        <v>438</v>
      </c>
      <c r="F106" s="6" t="s">
        <v>438</v>
      </c>
      <c r="G106" s="6" t="s">
        <v>437</v>
      </c>
      <c r="H106" s="1" t="s">
        <v>297</v>
      </c>
    </row>
    <row r="107" spans="1:8">
      <c r="A107" t="s">
        <v>271</v>
      </c>
      <c r="B107">
        <v>13</v>
      </c>
      <c r="C107" s="1" t="s">
        <v>298</v>
      </c>
      <c r="D107" s="6" t="s">
        <v>437</v>
      </c>
      <c r="E107" s="6" t="s">
        <v>438</v>
      </c>
      <c r="F107" s="6" t="s">
        <v>438</v>
      </c>
      <c r="G107" s="6" t="s">
        <v>437</v>
      </c>
      <c r="H107" s="1" t="s">
        <v>299</v>
      </c>
    </row>
    <row r="108" spans="1:8" ht="28.5">
      <c r="A108" t="s">
        <v>271</v>
      </c>
      <c r="B108">
        <v>14</v>
      </c>
      <c r="C108" s="1" t="s">
        <v>300</v>
      </c>
      <c r="D108" s="6" t="s">
        <v>437</v>
      </c>
      <c r="E108" s="6" t="s">
        <v>438</v>
      </c>
      <c r="F108" s="6" t="s">
        <v>438</v>
      </c>
      <c r="G108" s="6" t="s">
        <v>437</v>
      </c>
      <c r="H108" s="1" t="s">
        <v>301</v>
      </c>
    </row>
    <row r="109" spans="1:8">
      <c r="A109" t="s">
        <v>40</v>
      </c>
      <c r="B109">
        <v>0</v>
      </c>
      <c r="C109" s="1" t="s">
        <v>41</v>
      </c>
      <c r="D109" s="6" t="s">
        <v>438</v>
      </c>
      <c r="E109" s="6" t="s">
        <v>438</v>
      </c>
      <c r="F109" s="6" t="s">
        <v>438</v>
      </c>
      <c r="G109" s="6" t="s">
        <v>438</v>
      </c>
      <c r="H109" s="1" t="s">
        <v>42</v>
      </c>
    </row>
    <row r="110" spans="1:8" ht="28.5">
      <c r="A110" t="s">
        <v>40</v>
      </c>
      <c r="B110">
        <v>64</v>
      </c>
      <c r="C110" s="1" t="s">
        <v>47</v>
      </c>
      <c r="D110" s="6" t="s">
        <v>438</v>
      </c>
      <c r="E110" s="6" t="s">
        <v>437</v>
      </c>
      <c r="F110" s="6" t="s">
        <v>437</v>
      </c>
      <c r="G110" s="6" t="s">
        <v>438</v>
      </c>
      <c r="H110" s="1" t="s">
        <v>48</v>
      </c>
    </row>
    <row r="111" spans="1:8" ht="28.5">
      <c r="A111" t="s">
        <v>40</v>
      </c>
      <c r="B111">
        <v>66</v>
      </c>
      <c r="C111" s="1" t="s">
        <v>56</v>
      </c>
      <c r="D111" s="6" t="s">
        <v>438</v>
      </c>
      <c r="E111" s="6" t="s">
        <v>438</v>
      </c>
      <c r="F111" s="6" t="s">
        <v>438</v>
      </c>
      <c r="G111" s="6" t="s">
        <v>438</v>
      </c>
      <c r="H111" s="1" t="s">
        <v>57</v>
      </c>
    </row>
    <row r="112" spans="1:8">
      <c r="A112" t="s">
        <v>40</v>
      </c>
      <c r="B112">
        <v>80</v>
      </c>
      <c r="C112" s="1" t="s">
        <v>43</v>
      </c>
      <c r="D112" s="6" t="s">
        <v>438</v>
      </c>
      <c r="E112" s="6" t="s">
        <v>437</v>
      </c>
      <c r="F112" s="6" t="s">
        <v>437</v>
      </c>
      <c r="G112" s="6" t="s">
        <v>438</v>
      </c>
      <c r="H112" s="1" t="s">
        <v>44</v>
      </c>
    </row>
    <row r="113" spans="1:8" ht="28.5">
      <c r="A113" t="s">
        <v>40</v>
      </c>
      <c r="B113">
        <v>88</v>
      </c>
      <c r="C113" s="1" t="s">
        <v>50</v>
      </c>
      <c r="D113" s="6" t="s">
        <v>438</v>
      </c>
      <c r="E113" s="6" t="s">
        <v>437</v>
      </c>
      <c r="F113" s="6" t="s">
        <v>437</v>
      </c>
      <c r="G113" s="6" t="s">
        <v>438</v>
      </c>
      <c r="H113" s="1" t="s">
        <v>51</v>
      </c>
    </row>
    <row r="114" spans="1:8" ht="42.75">
      <c r="A114" t="s">
        <v>40</v>
      </c>
      <c r="B114">
        <v>92</v>
      </c>
      <c r="C114" s="1" t="s">
        <v>53</v>
      </c>
      <c r="D114" s="6" t="s">
        <v>438</v>
      </c>
      <c r="E114" s="6" t="s">
        <v>437</v>
      </c>
      <c r="F114" s="6" t="s">
        <v>437</v>
      </c>
      <c r="G114" s="6" t="s">
        <v>438</v>
      </c>
      <c r="H114" s="1" t="s">
        <v>54</v>
      </c>
    </row>
    <row r="115" spans="1:8" ht="28.5">
      <c r="A115" t="s">
        <v>40</v>
      </c>
      <c r="B115">
        <v>192</v>
      </c>
      <c r="C115" s="1" t="s">
        <v>49</v>
      </c>
      <c r="D115" s="6" t="s">
        <v>438</v>
      </c>
      <c r="E115" s="6" t="s">
        <v>437</v>
      </c>
      <c r="F115" s="6" t="s">
        <v>437</v>
      </c>
      <c r="G115" s="6" t="s">
        <v>438</v>
      </c>
      <c r="H115" s="1" t="s">
        <v>48</v>
      </c>
    </row>
    <row r="116" spans="1:8" ht="28.5">
      <c r="A116" t="s">
        <v>40</v>
      </c>
      <c r="B116">
        <v>194</v>
      </c>
      <c r="C116" s="1" t="s">
        <v>58</v>
      </c>
      <c r="D116" s="6" t="s">
        <v>438</v>
      </c>
      <c r="E116" s="6" t="s">
        <v>438</v>
      </c>
      <c r="F116" s="6" t="s">
        <v>438</v>
      </c>
      <c r="G116" s="6" t="s">
        <v>438</v>
      </c>
      <c r="H116" s="1" t="s">
        <v>59</v>
      </c>
    </row>
    <row r="117" spans="1:8">
      <c r="A117" t="s">
        <v>40</v>
      </c>
      <c r="B117">
        <v>208</v>
      </c>
      <c r="C117" s="1" t="s">
        <v>45</v>
      </c>
      <c r="D117" s="6" t="s">
        <v>438</v>
      </c>
      <c r="E117" s="6" t="s">
        <v>437</v>
      </c>
      <c r="F117" s="6" t="s">
        <v>437</v>
      </c>
      <c r="G117" s="6" t="s">
        <v>438</v>
      </c>
      <c r="H117" s="1" t="s">
        <v>46</v>
      </c>
    </row>
    <row r="118" spans="1:8" ht="28.5">
      <c r="A118" t="s">
        <v>40</v>
      </c>
      <c r="B118">
        <v>216</v>
      </c>
      <c r="C118" s="1" t="s">
        <v>52</v>
      </c>
      <c r="D118" s="6" t="s">
        <v>438</v>
      </c>
      <c r="E118" s="6" t="s">
        <v>437</v>
      </c>
      <c r="F118" s="6" t="s">
        <v>437</v>
      </c>
      <c r="G118" s="6" t="s">
        <v>438</v>
      </c>
      <c r="H118" s="1" t="s">
        <v>51</v>
      </c>
    </row>
    <row r="119" spans="1:8" ht="42.75">
      <c r="A119" t="s">
        <v>40</v>
      </c>
      <c r="B119">
        <v>220</v>
      </c>
      <c r="C119" s="1" t="s">
        <v>55</v>
      </c>
      <c r="D119" s="6" t="s">
        <v>438</v>
      </c>
      <c r="E119" s="6" t="s">
        <v>437</v>
      </c>
      <c r="F119" s="6" t="s">
        <v>437</v>
      </c>
      <c r="G119" s="6" t="s">
        <v>438</v>
      </c>
      <c r="H119" s="1" t="s">
        <v>54</v>
      </c>
    </row>
    <row r="120" spans="1:8">
      <c r="A120" t="s">
        <v>40</v>
      </c>
      <c r="B120" s="8"/>
      <c r="C120" s="1" t="s">
        <v>461</v>
      </c>
      <c r="D120" s="6" t="s">
        <v>443</v>
      </c>
      <c r="E120" s="6" t="s">
        <v>443</v>
      </c>
      <c r="F120" s="6" t="s">
        <v>443</v>
      </c>
      <c r="G120" s="6" t="s">
        <v>443</v>
      </c>
    </row>
    <row r="121" spans="1:8">
      <c r="A121" t="s">
        <v>40</v>
      </c>
      <c r="B121" s="8"/>
      <c r="C121" s="1" t="s">
        <v>462</v>
      </c>
      <c r="D121" s="6" t="s">
        <v>443</v>
      </c>
      <c r="E121" s="6" t="s">
        <v>443</v>
      </c>
      <c r="F121" s="6" t="s">
        <v>443</v>
      </c>
      <c r="G121" s="6" t="s">
        <v>443</v>
      </c>
    </row>
    <row r="122" spans="1:8">
      <c r="A122" t="s">
        <v>40</v>
      </c>
      <c r="B122" s="8"/>
      <c r="C122" s="1" t="s">
        <v>463</v>
      </c>
      <c r="D122" s="6" t="s">
        <v>443</v>
      </c>
      <c r="E122" s="6" t="s">
        <v>443</v>
      </c>
      <c r="F122" s="6" t="s">
        <v>443</v>
      </c>
      <c r="G122" s="6" t="s">
        <v>443</v>
      </c>
    </row>
    <row r="123" spans="1:8" ht="28.5">
      <c r="A123" t="s">
        <v>30</v>
      </c>
      <c r="B123">
        <v>1</v>
      </c>
      <c r="C123" s="1" t="s">
        <v>27</v>
      </c>
      <c r="D123" s="6" t="s">
        <v>438</v>
      </c>
      <c r="E123" s="6" t="s">
        <v>438</v>
      </c>
      <c r="F123" s="6" t="s">
        <v>438</v>
      </c>
      <c r="G123" s="6" t="s">
        <v>438</v>
      </c>
      <c r="H123" s="1" t="s">
        <v>28</v>
      </c>
    </row>
    <row r="124" spans="1:8" ht="42.75">
      <c r="A124" t="s">
        <v>30</v>
      </c>
      <c r="B124">
        <v>2</v>
      </c>
      <c r="C124" s="1" t="s">
        <v>25</v>
      </c>
      <c r="D124" s="6" t="s">
        <v>438</v>
      </c>
      <c r="E124" s="6" t="s">
        <v>438</v>
      </c>
      <c r="F124" s="6" t="s">
        <v>438</v>
      </c>
      <c r="G124" s="6" t="s">
        <v>438</v>
      </c>
      <c r="H124" s="1" t="s">
        <v>26</v>
      </c>
    </row>
    <row r="125" spans="1:8" ht="42.75">
      <c r="A125" t="s">
        <v>30</v>
      </c>
      <c r="B125">
        <v>4</v>
      </c>
      <c r="C125" s="1" t="s">
        <v>23</v>
      </c>
      <c r="D125" s="6" t="s">
        <v>438</v>
      </c>
      <c r="E125" s="6" t="s">
        <v>438</v>
      </c>
      <c r="F125" s="6" t="s">
        <v>438</v>
      </c>
      <c r="G125" s="6" t="s">
        <v>438</v>
      </c>
      <c r="H125" s="1" t="s">
        <v>24</v>
      </c>
    </row>
    <row r="126" spans="1:8" ht="28.5">
      <c r="A126" t="s">
        <v>30</v>
      </c>
      <c r="B126">
        <v>8</v>
      </c>
      <c r="C126" s="1" t="s">
        <v>22</v>
      </c>
      <c r="D126" s="6" t="s">
        <v>438</v>
      </c>
      <c r="E126" s="6" t="s">
        <v>438</v>
      </c>
      <c r="F126" s="6" t="s">
        <v>438</v>
      </c>
      <c r="G126" s="6" t="s">
        <v>438</v>
      </c>
      <c r="H126" s="1" t="s">
        <v>29</v>
      </c>
    </row>
    <row r="127" spans="1:8" ht="42.75">
      <c r="A127" t="s">
        <v>30</v>
      </c>
      <c r="B127">
        <v>16</v>
      </c>
      <c r="C127" s="1" t="s">
        <v>20</v>
      </c>
      <c r="D127" s="6" t="s">
        <v>438</v>
      </c>
      <c r="E127" s="6" t="s">
        <v>438</v>
      </c>
      <c r="F127" s="6" t="s">
        <v>438</v>
      </c>
      <c r="G127" s="6" t="s">
        <v>438</v>
      </c>
      <c r="H127" s="1" t="s">
        <v>21</v>
      </c>
    </row>
    <row r="128" spans="1:8" ht="28.5">
      <c r="A128" t="s">
        <v>30</v>
      </c>
      <c r="B128">
        <v>32</v>
      </c>
      <c r="C128" s="1" t="s">
        <v>18</v>
      </c>
      <c r="D128" s="6" t="s">
        <v>438</v>
      </c>
      <c r="E128" s="6" t="s">
        <v>438</v>
      </c>
      <c r="F128" s="6" t="s">
        <v>438</v>
      </c>
      <c r="G128" s="6" t="s">
        <v>438</v>
      </c>
      <c r="H128" s="1" t="s">
        <v>19</v>
      </c>
    </row>
    <row r="129" spans="1:8" ht="28.5">
      <c r="A129" t="s">
        <v>30</v>
      </c>
      <c r="B129">
        <v>64</v>
      </c>
      <c r="C129" s="1" t="s">
        <v>16</v>
      </c>
      <c r="D129" s="6" t="s">
        <v>438</v>
      </c>
      <c r="E129" s="6" t="s">
        <v>438</v>
      </c>
      <c r="F129" s="6" t="s">
        <v>438</v>
      </c>
      <c r="G129" s="6" t="s">
        <v>438</v>
      </c>
      <c r="H129" s="1" t="s">
        <v>17</v>
      </c>
    </row>
    <row r="130" spans="1:8" ht="28.5">
      <c r="A130" t="s">
        <v>30</v>
      </c>
      <c r="B130">
        <v>128</v>
      </c>
      <c r="C130" s="1" t="s">
        <v>14</v>
      </c>
      <c r="D130" s="6" t="s">
        <v>438</v>
      </c>
      <c r="E130" s="6" t="s">
        <v>438</v>
      </c>
      <c r="F130" s="6" t="s">
        <v>438</v>
      </c>
      <c r="G130" s="6" t="s">
        <v>438</v>
      </c>
      <c r="H130" s="1" t="s">
        <v>15</v>
      </c>
    </row>
    <row r="131" spans="1:8">
      <c r="A131" t="s">
        <v>260</v>
      </c>
      <c r="B131">
        <v>0</v>
      </c>
      <c r="C131" s="1" t="s">
        <v>261</v>
      </c>
      <c r="D131" s="6" t="s">
        <v>437</v>
      </c>
      <c r="E131" s="6" t="s">
        <v>438</v>
      </c>
      <c r="F131" s="6" t="s">
        <v>438</v>
      </c>
      <c r="G131" s="6" t="s">
        <v>437</v>
      </c>
      <c r="H131" s="1" t="s">
        <v>262</v>
      </c>
    </row>
    <row r="132" spans="1:8" ht="28.5">
      <c r="A132" t="s">
        <v>260</v>
      </c>
      <c r="B132">
        <v>1</v>
      </c>
      <c r="C132" s="1" t="s">
        <v>263</v>
      </c>
      <c r="D132" s="6" t="s">
        <v>437</v>
      </c>
      <c r="E132" s="6" t="s">
        <v>438</v>
      </c>
      <c r="F132" s="6" t="s">
        <v>438</v>
      </c>
      <c r="G132" s="6" t="s">
        <v>437</v>
      </c>
      <c r="H132" s="1" t="s">
        <v>264</v>
      </c>
    </row>
    <row r="133" spans="1:8">
      <c r="A133" t="s">
        <v>260</v>
      </c>
      <c r="B133">
        <v>2</v>
      </c>
      <c r="C133" s="1" t="s">
        <v>265</v>
      </c>
      <c r="D133" s="6" t="s">
        <v>437</v>
      </c>
      <c r="E133" s="6" t="s">
        <v>438</v>
      </c>
      <c r="F133" s="6" t="s">
        <v>438</v>
      </c>
      <c r="G133" s="6" t="s">
        <v>437</v>
      </c>
      <c r="H133" s="1" t="s">
        <v>266</v>
      </c>
    </row>
    <row r="134" spans="1:8">
      <c r="A134" t="s">
        <v>260</v>
      </c>
      <c r="B134">
        <v>3</v>
      </c>
      <c r="C134" s="1" t="s">
        <v>267</v>
      </c>
      <c r="D134" s="6" t="s">
        <v>437</v>
      </c>
      <c r="E134" s="6" t="s">
        <v>438</v>
      </c>
      <c r="F134" s="6" t="s">
        <v>438</v>
      </c>
      <c r="G134" s="6" t="s">
        <v>437</v>
      </c>
      <c r="H134" s="1" t="s">
        <v>268</v>
      </c>
    </row>
    <row r="135" spans="1:8">
      <c r="A135" t="s">
        <v>260</v>
      </c>
      <c r="B135">
        <v>4</v>
      </c>
      <c r="C135" s="1" t="s">
        <v>269</v>
      </c>
      <c r="D135" s="6" t="s">
        <v>437</v>
      </c>
      <c r="E135" s="6" t="s">
        <v>438</v>
      </c>
      <c r="F135" s="6" t="s">
        <v>438</v>
      </c>
      <c r="G135" s="6" t="s">
        <v>437</v>
      </c>
      <c r="H135" s="1" t="s">
        <v>270</v>
      </c>
    </row>
    <row r="136" spans="1:8">
      <c r="A136" t="s">
        <v>215</v>
      </c>
      <c r="B136">
        <v>0</v>
      </c>
      <c r="C136" s="1" t="s">
        <v>216</v>
      </c>
      <c r="D136" s="6" t="s">
        <v>437</v>
      </c>
      <c r="E136" s="6" t="s">
        <v>438</v>
      </c>
      <c r="F136" s="6" t="s">
        <v>438</v>
      </c>
      <c r="G136" s="6" t="s">
        <v>437</v>
      </c>
      <c r="H136" s="1" t="s">
        <v>217</v>
      </c>
    </row>
    <row r="137" spans="1:8">
      <c r="A137" t="s">
        <v>215</v>
      </c>
      <c r="B137">
        <v>1</v>
      </c>
      <c r="C137" s="1" t="s">
        <v>218</v>
      </c>
      <c r="D137" s="6" t="s">
        <v>438</v>
      </c>
      <c r="E137" s="6" t="s">
        <v>437</v>
      </c>
      <c r="F137" s="6" t="s">
        <v>437</v>
      </c>
      <c r="G137" s="6" t="s">
        <v>438</v>
      </c>
      <c r="H137" s="1" t="s">
        <v>219</v>
      </c>
    </row>
    <row r="138" spans="1:8">
      <c r="A138" t="s">
        <v>215</v>
      </c>
      <c r="B138">
        <v>2</v>
      </c>
      <c r="C138" s="1" t="s">
        <v>220</v>
      </c>
      <c r="D138" s="6" t="s">
        <v>438</v>
      </c>
      <c r="E138" s="6" t="s">
        <v>437</v>
      </c>
      <c r="F138" s="6" t="s">
        <v>437</v>
      </c>
      <c r="G138" s="6" t="s">
        <v>438</v>
      </c>
      <c r="H138" s="1" t="s">
        <v>221</v>
      </c>
    </row>
    <row r="139" spans="1:8">
      <c r="A139" t="s">
        <v>215</v>
      </c>
      <c r="B139">
        <v>3</v>
      </c>
      <c r="C139" s="1" t="s">
        <v>222</v>
      </c>
      <c r="D139" s="6" t="s">
        <v>438</v>
      </c>
      <c r="E139" s="6" t="s">
        <v>437</v>
      </c>
      <c r="F139" s="6" t="s">
        <v>437</v>
      </c>
      <c r="G139" s="6" t="s">
        <v>438</v>
      </c>
      <c r="H139" s="1" t="s">
        <v>223</v>
      </c>
    </row>
    <row r="140" spans="1:8">
      <c r="A140" t="s">
        <v>215</v>
      </c>
      <c r="B140">
        <v>4</v>
      </c>
      <c r="C140" s="1" t="s">
        <v>224</v>
      </c>
      <c r="D140" s="6" t="s">
        <v>438</v>
      </c>
      <c r="E140" s="6" t="s">
        <v>437</v>
      </c>
      <c r="F140" s="6" t="s">
        <v>437</v>
      </c>
      <c r="G140" s="6" t="s">
        <v>438</v>
      </c>
      <c r="H140" s="1" t="s">
        <v>225</v>
      </c>
    </row>
    <row r="141" spans="1:8">
      <c r="A141" t="s">
        <v>60</v>
      </c>
      <c r="B141">
        <v>0</v>
      </c>
      <c r="C141" s="1" t="s">
        <v>61</v>
      </c>
      <c r="D141" s="6" t="s">
        <v>438</v>
      </c>
      <c r="E141" s="6" t="s">
        <v>438</v>
      </c>
      <c r="F141" s="6" t="s">
        <v>438</v>
      </c>
      <c r="G141" s="6" t="s">
        <v>438</v>
      </c>
      <c r="H141" s="1" t="s">
        <v>62</v>
      </c>
    </row>
    <row r="142" spans="1:8" ht="28.5">
      <c r="A142" t="s">
        <v>60</v>
      </c>
      <c r="C142" s="1" t="s">
        <v>69</v>
      </c>
      <c r="D142" s="6" t="s">
        <v>438</v>
      </c>
      <c r="E142" s="6" t="s">
        <v>438</v>
      </c>
      <c r="F142" s="6" t="s">
        <v>438</v>
      </c>
      <c r="G142" s="6" t="s">
        <v>438</v>
      </c>
      <c r="H142" s="1" t="s">
        <v>70</v>
      </c>
    </row>
    <row r="143" spans="1:8">
      <c r="A143" t="s">
        <v>60</v>
      </c>
      <c r="C143" s="1" t="s">
        <v>63</v>
      </c>
      <c r="D143" s="6" t="s">
        <v>438</v>
      </c>
      <c r="E143" s="6" t="s">
        <v>438</v>
      </c>
      <c r="F143" s="6" t="s">
        <v>438</v>
      </c>
      <c r="G143" s="6" t="s">
        <v>438</v>
      </c>
      <c r="H143" s="1" t="s">
        <v>64</v>
      </c>
    </row>
    <row r="144" spans="1:8">
      <c r="A144" t="s">
        <v>60</v>
      </c>
      <c r="C144" s="1" t="s">
        <v>65</v>
      </c>
      <c r="D144" s="6" t="s">
        <v>438</v>
      </c>
      <c r="E144" s="6" t="s">
        <v>438</v>
      </c>
      <c r="F144" s="6" t="s">
        <v>438</v>
      </c>
      <c r="G144" s="6" t="s">
        <v>438</v>
      </c>
      <c r="H144" s="1" t="s">
        <v>66</v>
      </c>
    </row>
    <row r="145" spans="1:8">
      <c r="A145" t="s">
        <v>60</v>
      </c>
      <c r="C145" s="1" t="s">
        <v>67</v>
      </c>
      <c r="D145" s="6" t="s">
        <v>438</v>
      </c>
      <c r="E145" s="6" t="s">
        <v>438</v>
      </c>
      <c r="F145" s="6" t="s">
        <v>438</v>
      </c>
      <c r="G145" s="6" t="s">
        <v>438</v>
      </c>
      <c r="H145" s="1" t="s">
        <v>68</v>
      </c>
    </row>
    <row r="146" spans="1:8" ht="28.5">
      <c r="A146" t="s">
        <v>60</v>
      </c>
      <c r="C146" s="1" t="s">
        <v>71</v>
      </c>
      <c r="D146" s="6" t="s">
        <v>438</v>
      </c>
      <c r="E146" s="6" t="s">
        <v>438</v>
      </c>
      <c r="F146" s="6" t="s">
        <v>438</v>
      </c>
      <c r="G146" s="6" t="s">
        <v>438</v>
      </c>
      <c r="H146" s="1" t="s">
        <v>72</v>
      </c>
    </row>
    <row r="147" spans="1:8" ht="28.5">
      <c r="A147" t="s">
        <v>60</v>
      </c>
      <c r="C147" s="1" t="s">
        <v>73</v>
      </c>
      <c r="D147" s="6" t="s">
        <v>438</v>
      </c>
      <c r="E147" s="6" t="s">
        <v>438</v>
      </c>
      <c r="F147" s="6" t="s">
        <v>438</v>
      </c>
      <c r="G147" s="6" t="s">
        <v>438</v>
      </c>
      <c r="H147" s="1" t="s">
        <v>74</v>
      </c>
    </row>
    <row r="148" spans="1:8" ht="28.5">
      <c r="A148" t="s">
        <v>60</v>
      </c>
      <c r="C148" s="1" t="s">
        <v>75</v>
      </c>
      <c r="D148" s="6" t="s">
        <v>438</v>
      </c>
      <c r="E148" s="6" t="s">
        <v>438</v>
      </c>
      <c r="F148" s="6" t="s">
        <v>438</v>
      </c>
      <c r="G148" s="6" t="s">
        <v>438</v>
      </c>
      <c r="H148" s="1" t="s">
        <v>76</v>
      </c>
    </row>
    <row r="149" spans="1:8">
      <c r="A149" t="s">
        <v>77</v>
      </c>
      <c r="B149">
        <v>0</v>
      </c>
      <c r="C149" s="1" t="s">
        <v>78</v>
      </c>
      <c r="D149" s="6" t="s">
        <v>437</v>
      </c>
      <c r="E149" s="6" t="s">
        <v>438</v>
      </c>
      <c r="F149" s="6" t="s">
        <v>438</v>
      </c>
      <c r="G149" s="6" t="s">
        <v>437</v>
      </c>
      <c r="H149" s="1" t="s">
        <v>79</v>
      </c>
    </row>
    <row r="150" spans="1:8">
      <c r="A150" t="s">
        <v>77</v>
      </c>
      <c r="B150">
        <v>2</v>
      </c>
      <c r="C150" s="1" t="s">
        <v>80</v>
      </c>
      <c r="D150" s="6" t="s">
        <v>437</v>
      </c>
      <c r="E150" s="6" t="s">
        <v>438</v>
      </c>
      <c r="F150" s="6" t="s">
        <v>438</v>
      </c>
      <c r="G150" s="6" t="s">
        <v>437</v>
      </c>
      <c r="H150" s="1" t="s">
        <v>81</v>
      </c>
    </row>
    <row r="151" spans="1:8" hidden="1">
      <c r="A151" t="s">
        <v>77</v>
      </c>
      <c r="B151">
        <v>5</v>
      </c>
      <c r="C151" s="1" t="s">
        <v>82</v>
      </c>
      <c r="D151" s="6" t="s">
        <v>437</v>
      </c>
      <c r="E151" s="6" t="s">
        <v>437</v>
      </c>
      <c r="F151" s="6" t="s">
        <v>437</v>
      </c>
      <c r="G151" s="6" t="s">
        <v>437</v>
      </c>
      <c r="H151" s="1" t="s">
        <v>83</v>
      </c>
    </row>
    <row r="152" spans="1:8">
      <c r="A152" t="s">
        <v>77</v>
      </c>
      <c r="B152">
        <v>6</v>
      </c>
      <c r="C152" s="1" t="s">
        <v>84</v>
      </c>
      <c r="D152" s="6" t="s">
        <v>438</v>
      </c>
      <c r="E152" s="6" t="s">
        <v>437</v>
      </c>
      <c r="F152" s="6" t="s">
        <v>437</v>
      </c>
      <c r="G152" s="6" t="s">
        <v>438</v>
      </c>
      <c r="H152" s="1" t="s">
        <v>85</v>
      </c>
    </row>
    <row r="153" spans="1:8">
      <c r="A153" t="s">
        <v>77</v>
      </c>
      <c r="B153">
        <v>10</v>
      </c>
      <c r="C153" s="1" t="s">
        <v>86</v>
      </c>
      <c r="D153" s="6" t="s">
        <v>437</v>
      </c>
      <c r="E153" s="6" t="s">
        <v>437</v>
      </c>
      <c r="F153" s="6" t="s">
        <v>437</v>
      </c>
      <c r="G153" s="6" t="s">
        <v>437</v>
      </c>
      <c r="H153" s="1" t="s">
        <v>87</v>
      </c>
    </row>
    <row r="154" spans="1:8">
      <c r="A154" t="s">
        <v>245</v>
      </c>
      <c r="B154">
        <v>0</v>
      </c>
      <c r="C154" s="1" t="s">
        <v>246</v>
      </c>
      <c r="D154" s="6" t="s">
        <v>438</v>
      </c>
      <c r="E154" s="6" t="s">
        <v>438</v>
      </c>
      <c r="F154" s="6" t="s">
        <v>438</v>
      </c>
      <c r="G154" s="6" t="s">
        <v>438</v>
      </c>
      <c r="H154" s="1" t="s">
        <v>247</v>
      </c>
    </row>
    <row r="155" spans="1:8">
      <c r="A155" t="s">
        <v>245</v>
      </c>
      <c r="B155">
        <v>1</v>
      </c>
      <c r="C155" s="1" t="s">
        <v>248</v>
      </c>
      <c r="D155" s="6" t="s">
        <v>438</v>
      </c>
      <c r="E155" s="6" t="s">
        <v>438</v>
      </c>
      <c r="F155" s="6" t="s">
        <v>438</v>
      </c>
      <c r="G155" s="6" t="s">
        <v>438</v>
      </c>
      <c r="H155" s="1" t="s">
        <v>249</v>
      </c>
    </row>
    <row r="156" spans="1:8">
      <c r="A156" t="s">
        <v>245</v>
      </c>
      <c r="B156">
        <v>2</v>
      </c>
      <c r="C156" s="1" t="s">
        <v>250</v>
      </c>
      <c r="D156" s="6" t="s">
        <v>438</v>
      </c>
      <c r="E156" s="6" t="s">
        <v>438</v>
      </c>
      <c r="F156" s="6" t="s">
        <v>438</v>
      </c>
      <c r="G156" s="6" t="s">
        <v>438</v>
      </c>
      <c r="H156" s="1" t="s">
        <v>251</v>
      </c>
    </row>
    <row r="157" spans="1:8">
      <c r="A157" t="s">
        <v>245</v>
      </c>
      <c r="B157">
        <v>3</v>
      </c>
      <c r="C157" s="1" t="s">
        <v>252</v>
      </c>
      <c r="D157" s="6" t="s">
        <v>438</v>
      </c>
      <c r="E157" s="6" t="s">
        <v>438</v>
      </c>
      <c r="F157" s="6" t="s">
        <v>438</v>
      </c>
      <c r="G157" s="6" t="s">
        <v>438</v>
      </c>
      <c r="H157" s="1" t="s">
        <v>253</v>
      </c>
    </row>
    <row r="158" spans="1:8">
      <c r="A158" t="s">
        <v>245</v>
      </c>
      <c r="B158">
        <v>4</v>
      </c>
      <c r="C158" s="1" t="s">
        <v>254</v>
      </c>
      <c r="D158" s="6" t="s">
        <v>438</v>
      </c>
      <c r="E158" s="6" t="s">
        <v>438</v>
      </c>
      <c r="F158" s="6" t="s">
        <v>438</v>
      </c>
      <c r="G158" s="6" t="s">
        <v>438</v>
      </c>
      <c r="H158" s="1" t="s">
        <v>255</v>
      </c>
    </row>
    <row r="159" spans="1:8">
      <c r="A159" t="s">
        <v>245</v>
      </c>
      <c r="B159">
        <v>5</v>
      </c>
      <c r="C159" s="1" t="s">
        <v>256</v>
      </c>
      <c r="D159" s="6" t="s">
        <v>438</v>
      </c>
      <c r="E159" s="6" t="s">
        <v>438</v>
      </c>
      <c r="F159" s="6" t="s">
        <v>438</v>
      </c>
      <c r="G159" s="6" t="s">
        <v>438</v>
      </c>
      <c r="H159" s="1" t="s">
        <v>257</v>
      </c>
    </row>
    <row r="160" spans="1:8">
      <c r="A160" t="s">
        <v>245</v>
      </c>
      <c r="B160">
        <v>6</v>
      </c>
      <c r="C160" s="1" t="s">
        <v>258</v>
      </c>
      <c r="D160" s="6" t="s">
        <v>438</v>
      </c>
      <c r="E160" s="6" t="s">
        <v>438</v>
      </c>
      <c r="F160" s="6" t="s">
        <v>438</v>
      </c>
      <c r="G160" s="6" t="s">
        <v>438</v>
      </c>
      <c r="H160" s="1" t="s">
        <v>259</v>
      </c>
    </row>
    <row r="161" spans="1:7">
      <c r="A161" t="s">
        <v>126</v>
      </c>
      <c r="D161" s="6" t="s">
        <v>438</v>
      </c>
      <c r="E161" s="6" t="s">
        <v>438</v>
      </c>
      <c r="F161" s="6" t="s">
        <v>438</v>
      </c>
      <c r="G161" s="6" t="s">
        <v>438</v>
      </c>
    </row>
    <row r="162" spans="1:7">
      <c r="A162" t="s">
        <v>126</v>
      </c>
      <c r="C162" s="1" t="s">
        <v>127</v>
      </c>
      <c r="D162" s="6" t="s">
        <v>438</v>
      </c>
      <c r="E162" s="6" t="s">
        <v>438</v>
      </c>
      <c r="F162" s="6" t="s">
        <v>438</v>
      </c>
      <c r="G162" s="6" t="s">
        <v>438</v>
      </c>
    </row>
    <row r="163" spans="1:7">
      <c r="A163" t="s">
        <v>126</v>
      </c>
      <c r="C163" s="1" t="s">
        <v>128</v>
      </c>
      <c r="D163" s="6" t="s">
        <v>438</v>
      </c>
      <c r="E163" s="6" t="s">
        <v>438</v>
      </c>
      <c r="F163" s="6" t="s">
        <v>438</v>
      </c>
      <c r="G163" s="6" t="s">
        <v>438</v>
      </c>
    </row>
    <row r="164" spans="1:7">
      <c r="A164" t="s">
        <v>126</v>
      </c>
      <c r="C164" s="1" t="s">
        <v>129</v>
      </c>
      <c r="D164" s="6" t="s">
        <v>438</v>
      </c>
      <c r="E164" s="6" t="s">
        <v>438</v>
      </c>
      <c r="F164" s="6" t="s">
        <v>438</v>
      </c>
      <c r="G164" s="6" t="s">
        <v>438</v>
      </c>
    </row>
    <row r="165" spans="1:7">
      <c r="A165" t="s">
        <v>126</v>
      </c>
      <c r="C165" s="1" t="s">
        <v>130</v>
      </c>
      <c r="D165" s="6" t="s">
        <v>438</v>
      </c>
      <c r="E165" s="6" t="s">
        <v>438</v>
      </c>
      <c r="F165" s="6" t="s">
        <v>438</v>
      </c>
      <c r="G165" s="6" t="s">
        <v>438</v>
      </c>
    </row>
    <row r="166" spans="1:7">
      <c r="A166" t="s">
        <v>126</v>
      </c>
      <c r="C166" s="1" t="s">
        <v>131</v>
      </c>
      <c r="D166" s="6" t="s">
        <v>438</v>
      </c>
      <c r="E166" s="6" t="s">
        <v>438</v>
      </c>
      <c r="F166" s="6" t="s">
        <v>438</v>
      </c>
      <c r="G166" s="6" t="s">
        <v>438</v>
      </c>
    </row>
    <row r="167" spans="1:7">
      <c r="A167" t="s">
        <v>126</v>
      </c>
      <c r="C167" s="1" t="s">
        <v>132</v>
      </c>
      <c r="D167" s="6" t="s">
        <v>438</v>
      </c>
      <c r="E167" s="6" t="s">
        <v>438</v>
      </c>
      <c r="F167" s="6" t="s">
        <v>438</v>
      </c>
      <c r="G167" s="6" t="s">
        <v>438</v>
      </c>
    </row>
  </sheetData>
  <autoFilter ref="A2:H167">
    <sortState ref="A3:H164">
      <sortCondition ref="A2:A164"/>
    </sortState>
  </autoFilter>
  <mergeCells count="2">
    <mergeCell ref="D1:E1"/>
    <mergeCell ref="F1:G1"/>
  </mergeCells>
  <conditionalFormatting sqref="D1:G1048576">
    <cfRule type="cellIs" dxfId="44" priority="1" stopIfTrue="1" operator="equal">
      <formula>"INW"</formula>
    </cfRule>
    <cfRule type="cellIs" dxfId="43" priority="2" stopIfTrue="1" operator="equal">
      <formula>"AWM"</formula>
    </cfRule>
    <cfRule type="cellIs" dxfId="42" priority="3" stopIfTrue="1" operator="equal">
      <formula>"HOLD"</formula>
    </cfRule>
    <cfRule type="cellIs" dxfId="41" priority="4" stopIfTrue="1" operator="equal">
      <formula>"CNLD"</formula>
    </cfRule>
    <cfRule type="cellIs" dxfId="40" priority="5" stopIfTrue="1" operator="equal">
      <formula>"DONE"</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78"/>
  <sheetViews>
    <sheetView workbookViewId="0">
      <pane ySplit="2" topLeftCell="A15" activePane="bottomLeft" state="frozen"/>
      <selection pane="bottomLeft" activeCell="B21" sqref="B21"/>
    </sheetView>
  </sheetViews>
  <sheetFormatPr defaultRowHeight="14.25"/>
  <cols>
    <col min="1" max="1" width="41.25" bestFit="1" customWidth="1"/>
    <col min="2" max="2" width="17.625" customWidth="1"/>
    <col min="3" max="3" width="15.125" hidden="1" customWidth="1"/>
    <col min="4" max="4" width="14.375" style="6" bestFit="1" customWidth="1"/>
    <col min="5" max="5" width="14.375" style="6" customWidth="1"/>
    <col min="6" max="6" width="15.625" style="6" bestFit="1" customWidth="1"/>
    <col min="7" max="7" width="15.625" style="6" customWidth="1"/>
    <col min="8" max="8" width="54.125" style="1" customWidth="1"/>
  </cols>
  <sheetData>
    <row r="1" spans="1:8" ht="15">
      <c r="D1" s="34" t="s">
        <v>2</v>
      </c>
      <c r="E1" s="34"/>
      <c r="F1" s="34" t="s">
        <v>1</v>
      </c>
      <c r="G1" s="34"/>
    </row>
    <row r="2" spans="1:8" s="2" customFormat="1" ht="15">
      <c r="A2" s="2" t="s">
        <v>302</v>
      </c>
      <c r="B2" s="2" t="s">
        <v>449</v>
      </c>
      <c r="C2" s="2" t="s">
        <v>3</v>
      </c>
      <c r="D2" s="7" t="s">
        <v>434</v>
      </c>
      <c r="E2" s="7" t="s">
        <v>435</v>
      </c>
      <c r="F2" s="7" t="s">
        <v>434</v>
      </c>
      <c r="G2" s="7" t="s">
        <v>435</v>
      </c>
      <c r="H2" s="3" t="s">
        <v>8</v>
      </c>
    </row>
    <row r="3" spans="1:8" ht="28.5">
      <c r="A3" t="s">
        <v>337</v>
      </c>
      <c r="B3" t="s">
        <v>453</v>
      </c>
      <c r="C3">
        <v>30</v>
      </c>
      <c r="D3" s="6" t="s">
        <v>437</v>
      </c>
      <c r="E3" s="6" t="s">
        <v>438</v>
      </c>
      <c r="F3" s="6" t="s">
        <v>440</v>
      </c>
      <c r="G3" s="6" t="s">
        <v>437</v>
      </c>
      <c r="H3" s="1" t="s">
        <v>340</v>
      </c>
    </row>
    <row r="4" spans="1:8" ht="28.5">
      <c r="A4" t="s">
        <v>341</v>
      </c>
      <c r="B4" t="s">
        <v>453</v>
      </c>
      <c r="C4">
        <v>31</v>
      </c>
      <c r="D4" s="6" t="s">
        <v>437</v>
      </c>
      <c r="E4" s="6" t="s">
        <v>438</v>
      </c>
      <c r="F4" s="6" t="s">
        <v>438</v>
      </c>
      <c r="G4" s="6" t="s">
        <v>437</v>
      </c>
      <c r="H4" s="1" t="s">
        <v>344</v>
      </c>
    </row>
    <row r="5" spans="1:8" ht="57">
      <c r="A5" t="s">
        <v>309</v>
      </c>
      <c r="B5" t="s">
        <v>454</v>
      </c>
      <c r="C5">
        <v>7</v>
      </c>
      <c r="D5" s="6" t="s">
        <v>438</v>
      </c>
      <c r="E5" s="6" t="s">
        <v>438</v>
      </c>
      <c r="F5" s="6" t="s">
        <v>438</v>
      </c>
      <c r="G5" s="6" t="s">
        <v>438</v>
      </c>
      <c r="H5" s="1" t="s">
        <v>323</v>
      </c>
    </row>
    <row r="6" spans="1:8">
      <c r="A6" t="s">
        <v>307</v>
      </c>
      <c r="B6" t="s">
        <v>452</v>
      </c>
      <c r="C6">
        <v>5</v>
      </c>
      <c r="D6" s="6" t="s">
        <v>438</v>
      </c>
      <c r="E6" s="6" t="s">
        <v>437</v>
      </c>
      <c r="F6" s="6" t="s">
        <v>437</v>
      </c>
      <c r="G6" s="6" t="s">
        <v>438</v>
      </c>
      <c r="H6" s="1" t="s">
        <v>321</v>
      </c>
    </row>
    <row r="7" spans="1:8">
      <c r="A7" t="s">
        <v>308</v>
      </c>
      <c r="B7" t="s">
        <v>452</v>
      </c>
      <c r="C7">
        <v>6</v>
      </c>
      <c r="D7" s="6" t="s">
        <v>437</v>
      </c>
      <c r="E7" s="6" t="s">
        <v>438</v>
      </c>
      <c r="F7" s="6" t="s">
        <v>438</v>
      </c>
      <c r="G7" s="6" t="s">
        <v>437</v>
      </c>
      <c r="H7" s="1" t="s">
        <v>322</v>
      </c>
    </row>
    <row r="8" spans="1:8" ht="28.5">
      <c r="A8" t="s">
        <v>409</v>
      </c>
      <c r="B8" t="s">
        <v>452</v>
      </c>
      <c r="C8">
        <v>77</v>
      </c>
      <c r="D8" s="6" t="s">
        <v>437</v>
      </c>
      <c r="E8" s="6" t="s">
        <v>438</v>
      </c>
      <c r="F8" s="6" t="s">
        <v>438</v>
      </c>
      <c r="G8" s="6" t="s">
        <v>437</v>
      </c>
      <c r="H8" s="1" t="s">
        <v>444</v>
      </c>
    </row>
    <row r="9" spans="1:8">
      <c r="A9" t="s">
        <v>405</v>
      </c>
      <c r="B9" t="s">
        <v>452</v>
      </c>
      <c r="C9">
        <v>76</v>
      </c>
      <c r="D9" s="6" t="s">
        <v>438</v>
      </c>
      <c r="E9" s="6" t="s">
        <v>437</v>
      </c>
      <c r="F9" s="6" t="s">
        <v>437</v>
      </c>
      <c r="G9" s="6" t="s">
        <v>438</v>
      </c>
      <c r="H9" s="1" t="s">
        <v>408</v>
      </c>
    </row>
    <row r="10" spans="1:8">
      <c r="A10" t="s">
        <v>401</v>
      </c>
      <c r="B10" t="s">
        <v>454</v>
      </c>
      <c r="C10">
        <v>67</v>
      </c>
      <c r="D10" s="6" t="s">
        <v>437</v>
      </c>
      <c r="E10" s="6" t="s">
        <v>438</v>
      </c>
      <c r="F10" s="6" t="s">
        <v>438</v>
      </c>
      <c r="G10" s="6" t="s">
        <v>437</v>
      </c>
    </row>
    <row r="11" spans="1:8" ht="42.75">
      <c r="A11" t="s">
        <v>430</v>
      </c>
      <c r="B11" t="s">
        <v>452</v>
      </c>
      <c r="C11">
        <v>254</v>
      </c>
      <c r="D11" s="6" t="s">
        <v>438</v>
      </c>
      <c r="E11" s="6" t="s">
        <v>438</v>
      </c>
      <c r="F11" s="6" t="s">
        <v>438</v>
      </c>
      <c r="G11" s="6" t="s">
        <v>438</v>
      </c>
      <c r="H11" s="1" t="s">
        <v>432</v>
      </c>
    </row>
    <row r="12" spans="1:8">
      <c r="A12" t="s">
        <v>424</v>
      </c>
      <c r="B12" t="s">
        <v>452</v>
      </c>
      <c r="C12">
        <v>250</v>
      </c>
      <c r="D12" s="6" t="s">
        <v>437</v>
      </c>
      <c r="E12" s="6" t="s">
        <v>438</v>
      </c>
      <c r="F12" s="6" t="s">
        <v>438</v>
      </c>
      <c r="G12" s="6" t="s">
        <v>437</v>
      </c>
    </row>
    <row r="13" spans="1:8">
      <c r="A13" t="s">
        <v>431</v>
      </c>
      <c r="B13" t="s">
        <v>452</v>
      </c>
      <c r="C13">
        <v>255</v>
      </c>
      <c r="D13" s="6" t="s">
        <v>437</v>
      </c>
      <c r="E13" s="6" t="s">
        <v>438</v>
      </c>
      <c r="F13" s="6" t="s">
        <v>438</v>
      </c>
      <c r="G13" s="6" t="s">
        <v>437</v>
      </c>
      <c r="H13" s="1" t="s">
        <v>433</v>
      </c>
    </row>
    <row r="14" spans="1:8">
      <c r="A14" t="s">
        <v>455</v>
      </c>
      <c r="B14" t="s">
        <v>454</v>
      </c>
      <c r="D14" s="6" t="s">
        <v>438</v>
      </c>
      <c r="E14" s="6" t="s">
        <v>438</v>
      </c>
      <c r="F14" s="6" t="s">
        <v>440</v>
      </c>
      <c r="G14" s="6" t="s">
        <v>438</v>
      </c>
    </row>
    <row r="15" spans="1:8" ht="57">
      <c r="A15" t="s">
        <v>343</v>
      </c>
      <c r="B15" t="s">
        <v>453</v>
      </c>
      <c r="C15">
        <v>33</v>
      </c>
      <c r="D15" s="6" t="s">
        <v>437</v>
      </c>
      <c r="E15" s="6" t="s">
        <v>438</v>
      </c>
      <c r="F15" s="6" t="s">
        <v>440</v>
      </c>
      <c r="G15" s="6" t="s">
        <v>437</v>
      </c>
      <c r="H15" s="1" t="s">
        <v>346</v>
      </c>
    </row>
    <row r="16" spans="1:8" ht="28.5">
      <c r="A16" t="s">
        <v>382</v>
      </c>
      <c r="B16" t="s">
        <v>453</v>
      </c>
      <c r="C16">
        <v>52</v>
      </c>
      <c r="D16" s="6" t="s">
        <v>437</v>
      </c>
      <c r="E16" s="6" t="s">
        <v>438</v>
      </c>
      <c r="F16" s="6" t="s">
        <v>438</v>
      </c>
      <c r="G16" s="6" t="s">
        <v>437</v>
      </c>
      <c r="H16" s="1" t="s">
        <v>384</v>
      </c>
    </row>
    <row r="17" spans="1:8">
      <c r="A17" t="s">
        <v>418</v>
      </c>
      <c r="B17" t="s">
        <v>453</v>
      </c>
      <c r="C17">
        <v>101</v>
      </c>
      <c r="D17" s="6" t="s">
        <v>437</v>
      </c>
      <c r="E17" s="6" t="s">
        <v>438</v>
      </c>
      <c r="F17" s="6" t="s">
        <v>438</v>
      </c>
      <c r="G17" s="6" t="s">
        <v>437</v>
      </c>
    </row>
    <row r="18" spans="1:8" ht="28.5">
      <c r="A18" t="s">
        <v>377</v>
      </c>
      <c r="B18" t="s">
        <v>453</v>
      </c>
      <c r="C18">
        <v>49</v>
      </c>
      <c r="D18" s="6" t="s">
        <v>437</v>
      </c>
      <c r="E18" s="6" t="s">
        <v>438</v>
      </c>
      <c r="F18" s="6" t="s">
        <v>438</v>
      </c>
      <c r="G18" s="6" t="s">
        <v>437</v>
      </c>
      <c r="H18" s="1" t="s">
        <v>379</v>
      </c>
    </row>
    <row r="19" spans="1:8" ht="71.25">
      <c r="A19" t="s">
        <v>315</v>
      </c>
      <c r="B19" t="s">
        <v>450</v>
      </c>
      <c r="C19">
        <v>24</v>
      </c>
      <c r="D19" s="6" t="s">
        <v>438</v>
      </c>
      <c r="E19" s="6" t="s">
        <v>438</v>
      </c>
      <c r="F19" s="6" t="s">
        <v>440</v>
      </c>
      <c r="G19" s="6" t="s">
        <v>438</v>
      </c>
      <c r="H19" s="1" t="s">
        <v>329</v>
      </c>
    </row>
    <row r="20" spans="1:8" ht="71.25">
      <c r="A20" t="s">
        <v>316</v>
      </c>
      <c r="B20" t="s">
        <v>453</v>
      </c>
      <c r="C20">
        <v>25</v>
      </c>
      <c r="D20" s="6" t="s">
        <v>438</v>
      </c>
      <c r="E20" s="6" t="s">
        <v>438</v>
      </c>
      <c r="F20" s="6" t="s">
        <v>440</v>
      </c>
      <c r="G20" s="6" t="s">
        <v>438</v>
      </c>
      <c r="H20" s="1" t="s">
        <v>330</v>
      </c>
    </row>
    <row r="21" spans="1:8" ht="71.25">
      <c r="A21" t="s">
        <v>303</v>
      </c>
      <c r="B21" t="s">
        <v>452</v>
      </c>
      <c r="C21">
        <v>0</v>
      </c>
      <c r="D21" s="6" t="s">
        <v>438</v>
      </c>
      <c r="E21" s="6" t="s">
        <v>438</v>
      </c>
      <c r="F21" s="6" t="s">
        <v>440</v>
      </c>
      <c r="G21" s="6" t="s">
        <v>438</v>
      </c>
      <c r="H21" s="1" t="s">
        <v>317</v>
      </c>
    </row>
    <row r="22" spans="1:8" ht="28.5">
      <c r="A22" t="s">
        <v>411</v>
      </c>
      <c r="B22" t="s">
        <v>452</v>
      </c>
      <c r="C22">
        <v>91</v>
      </c>
      <c r="D22" s="6" t="s">
        <v>437</v>
      </c>
      <c r="E22" s="6" t="s">
        <v>438</v>
      </c>
      <c r="F22" s="6" t="s">
        <v>438</v>
      </c>
      <c r="G22" s="6" t="s">
        <v>437</v>
      </c>
      <c r="H22" s="1" t="s">
        <v>413</v>
      </c>
    </row>
    <row r="23" spans="1:8" ht="57">
      <c r="A23" t="s">
        <v>414</v>
      </c>
      <c r="B23" t="s">
        <v>452</v>
      </c>
      <c r="C23">
        <v>92</v>
      </c>
      <c r="D23" s="6" t="s">
        <v>438</v>
      </c>
      <c r="E23" s="6" t="s">
        <v>437</v>
      </c>
      <c r="F23" s="6" t="s">
        <v>437</v>
      </c>
      <c r="G23" s="6" t="s">
        <v>438</v>
      </c>
      <c r="H23" s="1" t="s">
        <v>416</v>
      </c>
    </row>
    <row r="24" spans="1:8" ht="42.75">
      <c r="A24" t="s">
        <v>410</v>
      </c>
      <c r="B24" t="s">
        <v>452</v>
      </c>
      <c r="C24">
        <v>90</v>
      </c>
      <c r="D24" s="6" t="s">
        <v>438</v>
      </c>
      <c r="E24" s="6" t="s">
        <v>437</v>
      </c>
      <c r="F24" s="6" t="s">
        <v>437</v>
      </c>
      <c r="G24" s="6" t="s">
        <v>438</v>
      </c>
      <c r="H24" s="1" t="s">
        <v>412</v>
      </c>
    </row>
    <row r="25" spans="1:8" ht="42.75">
      <c r="A25" t="s">
        <v>342</v>
      </c>
      <c r="B25" t="s">
        <v>453</v>
      </c>
      <c r="C25">
        <v>32</v>
      </c>
      <c r="D25" s="6" t="s">
        <v>437</v>
      </c>
      <c r="E25" s="6" t="s">
        <v>438</v>
      </c>
      <c r="F25" s="6" t="s">
        <v>438</v>
      </c>
      <c r="G25" s="6" t="s">
        <v>437</v>
      </c>
      <c r="H25" s="1" t="s">
        <v>345</v>
      </c>
    </row>
    <row r="26" spans="1:8" ht="28.5">
      <c r="A26" t="s">
        <v>381</v>
      </c>
      <c r="B26" t="s">
        <v>453</v>
      </c>
      <c r="C26">
        <v>51</v>
      </c>
      <c r="D26" s="6" t="s">
        <v>437</v>
      </c>
      <c r="E26" s="6" t="s">
        <v>438</v>
      </c>
      <c r="F26" s="6" t="s">
        <v>438</v>
      </c>
      <c r="G26" s="6" t="s">
        <v>437</v>
      </c>
      <c r="H26" s="1" t="s">
        <v>384</v>
      </c>
    </row>
    <row r="27" spans="1:8">
      <c r="A27" t="s">
        <v>402</v>
      </c>
      <c r="B27" t="s">
        <v>452</v>
      </c>
      <c r="C27">
        <v>69</v>
      </c>
      <c r="D27" s="6" t="s">
        <v>438</v>
      </c>
      <c r="E27" s="6" t="s">
        <v>437</v>
      </c>
      <c r="F27" s="6" t="s">
        <v>437</v>
      </c>
      <c r="G27" s="6" t="s">
        <v>438</v>
      </c>
    </row>
    <row r="28" spans="1:8">
      <c r="A28" t="s">
        <v>456</v>
      </c>
      <c r="B28" t="s">
        <v>454</v>
      </c>
      <c r="D28" s="6" t="s">
        <v>438</v>
      </c>
      <c r="E28" s="6" t="s">
        <v>438</v>
      </c>
      <c r="F28" s="6" t="s">
        <v>440</v>
      </c>
      <c r="G28" s="6" t="s">
        <v>438</v>
      </c>
      <c r="H28" s="1" t="s">
        <v>457</v>
      </c>
    </row>
    <row r="29" spans="1:8" ht="42.75">
      <c r="A29" t="s">
        <v>422</v>
      </c>
      <c r="B29" t="s">
        <v>452</v>
      </c>
      <c r="C29">
        <v>249</v>
      </c>
      <c r="D29" s="6" t="s">
        <v>437</v>
      </c>
      <c r="E29" s="6" t="s">
        <v>438</v>
      </c>
      <c r="F29" s="6" t="s">
        <v>438</v>
      </c>
      <c r="G29" s="6" t="s">
        <v>437</v>
      </c>
      <c r="H29" s="1" t="s">
        <v>423</v>
      </c>
    </row>
    <row r="30" spans="1:8" ht="42.75">
      <c r="A30" t="s">
        <v>371</v>
      </c>
      <c r="B30" t="s">
        <v>454</v>
      </c>
      <c r="C30">
        <v>47</v>
      </c>
      <c r="D30" s="6" t="s">
        <v>437</v>
      </c>
      <c r="E30" s="6" t="s">
        <v>438</v>
      </c>
      <c r="F30" s="6" t="s">
        <v>438</v>
      </c>
      <c r="G30" s="6" t="s">
        <v>437</v>
      </c>
      <c r="H30" s="1" t="s">
        <v>375</v>
      </c>
    </row>
    <row r="31" spans="1:8">
      <c r="A31" t="s">
        <v>369</v>
      </c>
      <c r="B31" t="s">
        <v>452</v>
      </c>
      <c r="C31">
        <v>45</v>
      </c>
      <c r="D31" s="6" t="s">
        <v>438</v>
      </c>
      <c r="E31" s="6" t="s">
        <v>437</v>
      </c>
      <c r="F31" s="6" t="s">
        <v>437</v>
      </c>
      <c r="G31" s="6" t="s">
        <v>438</v>
      </c>
      <c r="H31" s="1" t="s">
        <v>373</v>
      </c>
    </row>
    <row r="32" spans="1:8" ht="57">
      <c r="A32" t="s">
        <v>365</v>
      </c>
      <c r="B32" t="s">
        <v>452</v>
      </c>
      <c r="C32">
        <v>44</v>
      </c>
      <c r="D32" s="6" t="s">
        <v>438</v>
      </c>
      <c r="E32" s="6" t="s">
        <v>438</v>
      </c>
      <c r="F32" s="6" t="s">
        <v>438</v>
      </c>
      <c r="G32" s="6" t="s">
        <v>438</v>
      </c>
      <c r="H32" s="1" t="s">
        <v>368</v>
      </c>
    </row>
    <row r="33" spans="1:8" ht="28.5">
      <c r="A33" t="s">
        <v>363</v>
      </c>
      <c r="B33" t="s">
        <v>452</v>
      </c>
      <c r="C33">
        <v>42</v>
      </c>
      <c r="D33" s="6" t="s">
        <v>437</v>
      </c>
      <c r="E33" s="6" t="s">
        <v>438</v>
      </c>
      <c r="F33" s="6" t="s">
        <v>438</v>
      </c>
      <c r="G33" s="6" t="s">
        <v>437</v>
      </c>
      <c r="H33" s="1" t="s">
        <v>366</v>
      </c>
    </row>
    <row r="34" spans="1:8" ht="85.5">
      <c r="A34" t="s">
        <v>357</v>
      </c>
      <c r="B34" t="s">
        <v>452</v>
      </c>
      <c r="C34">
        <v>39</v>
      </c>
      <c r="D34" s="6" t="s">
        <v>438</v>
      </c>
      <c r="E34" s="6" t="s">
        <v>437</v>
      </c>
      <c r="F34" s="6" t="s">
        <v>437</v>
      </c>
      <c r="G34" s="6" t="s">
        <v>438</v>
      </c>
      <c r="H34" s="1" t="s">
        <v>360</v>
      </c>
    </row>
    <row r="35" spans="1:8" ht="42.75">
      <c r="A35" t="s">
        <v>370</v>
      </c>
      <c r="B35" t="s">
        <v>452</v>
      </c>
      <c r="C35">
        <v>46</v>
      </c>
      <c r="D35" s="6" t="s">
        <v>437</v>
      </c>
      <c r="E35" s="6" t="s">
        <v>438</v>
      </c>
      <c r="F35" s="6" t="s">
        <v>438</v>
      </c>
      <c r="G35" s="6" t="s">
        <v>437</v>
      </c>
      <c r="H35" s="1" t="s">
        <v>374</v>
      </c>
    </row>
    <row r="36" spans="1:8" ht="57">
      <c r="A36" t="s">
        <v>358</v>
      </c>
      <c r="B36" t="s">
        <v>452</v>
      </c>
      <c r="C36">
        <v>40</v>
      </c>
      <c r="D36" s="6" t="s">
        <v>438</v>
      </c>
      <c r="E36" s="6" t="s">
        <v>438</v>
      </c>
      <c r="F36" s="6" t="s">
        <v>438</v>
      </c>
      <c r="G36" s="6" t="s">
        <v>438</v>
      </c>
      <c r="H36" s="1" t="s">
        <v>361</v>
      </c>
    </row>
    <row r="37" spans="1:8" ht="28.5">
      <c r="A37" t="s">
        <v>364</v>
      </c>
      <c r="B37" t="s">
        <v>452</v>
      </c>
      <c r="C37">
        <v>43</v>
      </c>
      <c r="D37" s="6" t="s">
        <v>438</v>
      </c>
      <c r="E37" s="6" t="s">
        <v>438</v>
      </c>
      <c r="F37" s="6" t="s">
        <v>438</v>
      </c>
      <c r="G37" s="6" t="s">
        <v>438</v>
      </c>
      <c r="H37" s="1" t="s">
        <v>367</v>
      </c>
    </row>
    <row r="38" spans="1:8" ht="42.75">
      <c r="A38" t="s">
        <v>352</v>
      </c>
      <c r="B38" t="s">
        <v>452</v>
      </c>
      <c r="C38">
        <v>37</v>
      </c>
      <c r="D38" s="6" t="s">
        <v>438</v>
      </c>
      <c r="E38" s="6" t="s">
        <v>437</v>
      </c>
      <c r="F38" s="6" t="s">
        <v>437</v>
      </c>
      <c r="G38" s="6" t="s">
        <v>438</v>
      </c>
      <c r="H38" s="1" t="s">
        <v>355</v>
      </c>
    </row>
    <row r="39" spans="1:8" ht="57">
      <c r="A39" t="s">
        <v>359</v>
      </c>
      <c r="B39" t="s">
        <v>452</v>
      </c>
      <c r="C39">
        <v>41</v>
      </c>
      <c r="D39" s="6" t="s">
        <v>438</v>
      </c>
      <c r="E39" s="6" t="s">
        <v>437</v>
      </c>
      <c r="F39" s="6" t="s">
        <v>437</v>
      </c>
      <c r="G39" s="6" t="s">
        <v>438</v>
      </c>
      <c r="H39" s="1" t="s">
        <v>362</v>
      </c>
    </row>
    <row r="40" spans="1:8" ht="57">
      <c r="A40" t="s">
        <v>353</v>
      </c>
      <c r="B40" t="s">
        <v>452</v>
      </c>
      <c r="C40">
        <v>38</v>
      </c>
      <c r="D40" s="6" t="s">
        <v>438</v>
      </c>
      <c r="E40" s="6" t="s">
        <v>437</v>
      </c>
      <c r="F40" s="6" t="s">
        <v>437</v>
      </c>
      <c r="G40" s="6" t="s">
        <v>438</v>
      </c>
      <c r="H40" s="1" t="s">
        <v>356</v>
      </c>
    </row>
    <row r="41" spans="1:8" ht="42.75">
      <c r="A41" t="s">
        <v>425</v>
      </c>
      <c r="B41" t="s">
        <v>452</v>
      </c>
      <c r="C41">
        <v>251</v>
      </c>
      <c r="D41" s="6" t="s">
        <v>438</v>
      </c>
      <c r="E41" s="6" t="s">
        <v>437</v>
      </c>
      <c r="F41" s="6" t="s">
        <v>437</v>
      </c>
      <c r="G41" s="6" t="s">
        <v>438</v>
      </c>
      <c r="H41" s="1" t="s">
        <v>427</v>
      </c>
    </row>
    <row r="42" spans="1:8" ht="42.75">
      <c r="A42" t="s">
        <v>426</v>
      </c>
      <c r="B42" t="s">
        <v>452</v>
      </c>
      <c r="C42">
        <v>252</v>
      </c>
      <c r="D42" s="6" t="s">
        <v>438</v>
      </c>
      <c r="E42" s="6" t="s">
        <v>437</v>
      </c>
      <c r="F42" s="6" t="s">
        <v>437</v>
      </c>
      <c r="G42" s="6" t="s">
        <v>438</v>
      </c>
      <c r="H42" s="1" t="s">
        <v>428</v>
      </c>
    </row>
    <row r="43" spans="1:8" ht="57">
      <c r="A43" t="s">
        <v>395</v>
      </c>
      <c r="B43" t="s">
        <v>453</v>
      </c>
      <c r="C43">
        <v>62</v>
      </c>
      <c r="D43" s="6" t="s">
        <v>437</v>
      </c>
      <c r="E43" s="6" t="s">
        <v>438</v>
      </c>
      <c r="F43" s="6" t="s">
        <v>440</v>
      </c>
      <c r="G43" s="6" t="s">
        <v>437</v>
      </c>
      <c r="H43" s="1" t="s">
        <v>397</v>
      </c>
    </row>
    <row r="44" spans="1:8">
      <c r="A44" t="s">
        <v>415</v>
      </c>
      <c r="B44" t="s">
        <v>450</v>
      </c>
      <c r="C44">
        <v>100</v>
      </c>
      <c r="D44" s="6" t="s">
        <v>437</v>
      </c>
      <c r="E44" s="6" t="s">
        <v>438</v>
      </c>
      <c r="F44" s="6" t="s">
        <v>438</v>
      </c>
      <c r="G44" s="6" t="s">
        <v>437</v>
      </c>
      <c r="H44" s="1" t="s">
        <v>417</v>
      </c>
    </row>
    <row r="45" spans="1:8" ht="28.5">
      <c r="A45" t="s">
        <v>312</v>
      </c>
      <c r="B45" t="s">
        <v>452</v>
      </c>
      <c r="C45">
        <v>21</v>
      </c>
      <c r="D45" s="6" t="s">
        <v>438</v>
      </c>
      <c r="E45" s="6" t="s">
        <v>437</v>
      </c>
      <c r="F45" s="6" t="s">
        <v>437</v>
      </c>
      <c r="G45" s="6" t="s">
        <v>438</v>
      </c>
      <c r="H45" s="1" t="s">
        <v>326</v>
      </c>
    </row>
    <row r="46" spans="1:8" ht="114">
      <c r="A46" t="s">
        <v>311</v>
      </c>
      <c r="B46" t="s">
        <v>452</v>
      </c>
      <c r="C46">
        <v>20</v>
      </c>
      <c r="D46" s="6" t="s">
        <v>438</v>
      </c>
      <c r="E46" s="6" t="s">
        <v>437</v>
      </c>
      <c r="F46" s="6" t="s">
        <v>437</v>
      </c>
      <c r="G46" s="6" t="s">
        <v>438</v>
      </c>
      <c r="H46" s="1" t="s">
        <v>325</v>
      </c>
    </row>
    <row r="47" spans="1:8" ht="142.5">
      <c r="A47" t="s">
        <v>314</v>
      </c>
      <c r="B47" t="s">
        <v>452</v>
      </c>
      <c r="C47">
        <v>23</v>
      </c>
      <c r="D47" s="6" t="s">
        <v>438</v>
      </c>
      <c r="E47" s="6" t="s">
        <v>437</v>
      </c>
      <c r="F47" s="6" t="s">
        <v>437</v>
      </c>
      <c r="G47" s="6" t="s">
        <v>438</v>
      </c>
      <c r="H47" s="1" t="s">
        <v>328</v>
      </c>
    </row>
    <row r="48" spans="1:8" ht="57">
      <c r="A48" t="s">
        <v>313</v>
      </c>
      <c r="B48" t="s">
        <v>452</v>
      </c>
      <c r="C48">
        <v>22</v>
      </c>
      <c r="D48" s="6" t="s">
        <v>437</v>
      </c>
      <c r="E48" s="6" t="s">
        <v>438</v>
      </c>
      <c r="F48" s="6" t="s">
        <v>438</v>
      </c>
      <c r="G48" s="6" t="s">
        <v>437</v>
      </c>
      <c r="H48" s="1" t="s">
        <v>327</v>
      </c>
    </row>
    <row r="49" spans="1:8" ht="42.75">
      <c r="A49" t="s">
        <v>306</v>
      </c>
      <c r="B49" t="s">
        <v>452</v>
      </c>
      <c r="C49">
        <v>4</v>
      </c>
      <c r="D49" s="6" t="s">
        <v>438</v>
      </c>
      <c r="E49" s="6" t="s">
        <v>438</v>
      </c>
      <c r="F49" s="6" t="s">
        <v>438</v>
      </c>
      <c r="G49" s="6" t="s">
        <v>438</v>
      </c>
      <c r="H49" s="1" t="s">
        <v>320</v>
      </c>
    </row>
    <row r="50" spans="1:8" ht="42.75">
      <c r="A50" t="s">
        <v>333</v>
      </c>
      <c r="B50" t="s">
        <v>450</v>
      </c>
      <c r="C50">
        <v>27</v>
      </c>
      <c r="D50" s="6" t="s">
        <v>437</v>
      </c>
      <c r="E50" s="6" t="s">
        <v>438</v>
      </c>
      <c r="F50" s="6" t="s">
        <v>440</v>
      </c>
      <c r="G50" s="6" t="s">
        <v>437</v>
      </c>
      <c r="H50" s="1" t="s">
        <v>334</v>
      </c>
    </row>
    <row r="51" spans="1:8" ht="42.75">
      <c r="A51" t="s">
        <v>335</v>
      </c>
      <c r="B51" t="s">
        <v>450</v>
      </c>
      <c r="C51">
        <v>28</v>
      </c>
      <c r="D51" s="6" t="s">
        <v>437</v>
      </c>
      <c r="E51" s="6" t="s">
        <v>438</v>
      </c>
      <c r="F51" s="6" t="s">
        <v>438</v>
      </c>
      <c r="G51" s="6" t="s">
        <v>437</v>
      </c>
      <c r="H51" s="1" t="s">
        <v>338</v>
      </c>
    </row>
    <row r="52" spans="1:8" ht="99.75">
      <c r="A52" t="s">
        <v>403</v>
      </c>
      <c r="B52" t="s">
        <v>452</v>
      </c>
      <c r="C52">
        <v>70</v>
      </c>
      <c r="D52" s="6" t="s">
        <v>437</v>
      </c>
      <c r="E52" s="6" t="s">
        <v>437</v>
      </c>
      <c r="F52" s="6" t="s">
        <v>437</v>
      </c>
      <c r="G52" s="6" t="s">
        <v>437</v>
      </c>
      <c r="H52" s="1" t="s">
        <v>406</v>
      </c>
    </row>
    <row r="53" spans="1:8" ht="57">
      <c r="A53" t="s">
        <v>348</v>
      </c>
      <c r="B53" t="s">
        <v>452</v>
      </c>
      <c r="C53">
        <v>35</v>
      </c>
      <c r="D53" s="6" t="s">
        <v>437</v>
      </c>
      <c r="E53" s="6" t="s">
        <v>437</v>
      </c>
      <c r="F53" s="6" t="s">
        <v>437</v>
      </c>
      <c r="G53" s="6" t="s">
        <v>437</v>
      </c>
      <c r="H53" s="1" t="s">
        <v>350</v>
      </c>
    </row>
    <row r="54" spans="1:8" ht="28.5">
      <c r="A54" t="s">
        <v>347</v>
      </c>
      <c r="B54" t="s">
        <v>452</v>
      </c>
      <c r="C54">
        <v>34</v>
      </c>
      <c r="D54" s="6" t="s">
        <v>437</v>
      </c>
      <c r="E54" s="6" t="s">
        <v>437</v>
      </c>
      <c r="F54" s="6" t="s">
        <v>437</v>
      </c>
      <c r="G54" s="6" t="s">
        <v>437</v>
      </c>
      <c r="H54" s="1" t="s">
        <v>349</v>
      </c>
    </row>
    <row r="55" spans="1:8">
      <c r="A55" t="s">
        <v>400</v>
      </c>
      <c r="B55" t="s">
        <v>454</v>
      </c>
      <c r="C55">
        <v>66</v>
      </c>
      <c r="D55" s="6" t="s">
        <v>438</v>
      </c>
      <c r="E55" s="6" t="s">
        <v>437</v>
      </c>
      <c r="F55" s="6" t="s">
        <v>437</v>
      </c>
      <c r="G55" s="6" t="s">
        <v>438</v>
      </c>
    </row>
    <row r="56" spans="1:8" ht="28.5">
      <c r="A56" t="s">
        <v>394</v>
      </c>
      <c r="B56" t="s">
        <v>451</v>
      </c>
      <c r="C56">
        <v>59</v>
      </c>
      <c r="D56" s="6" t="s">
        <v>437</v>
      </c>
      <c r="E56" s="6" t="s">
        <v>438</v>
      </c>
      <c r="F56" s="6" t="s">
        <v>438</v>
      </c>
      <c r="G56" s="6" t="s">
        <v>437</v>
      </c>
      <c r="H56" s="1" t="s">
        <v>398</v>
      </c>
    </row>
    <row r="57" spans="1:8">
      <c r="A57" t="s">
        <v>391</v>
      </c>
      <c r="B57" t="s">
        <v>451</v>
      </c>
      <c r="C57">
        <v>58</v>
      </c>
      <c r="D57" s="6" t="s">
        <v>437</v>
      </c>
      <c r="E57" s="6" t="s">
        <v>438</v>
      </c>
      <c r="F57" s="6" t="s">
        <v>438</v>
      </c>
      <c r="G57" s="6" t="s">
        <v>437</v>
      </c>
      <c r="H57" s="1" t="s">
        <v>393</v>
      </c>
    </row>
    <row r="58" spans="1:8">
      <c r="A58" t="s">
        <v>387</v>
      </c>
      <c r="B58" t="s">
        <v>453</v>
      </c>
      <c r="C58">
        <v>55</v>
      </c>
      <c r="D58" s="6" t="s">
        <v>437</v>
      </c>
      <c r="E58" s="6" t="s">
        <v>438</v>
      </c>
      <c r="F58" s="6" t="s">
        <v>438</v>
      </c>
      <c r="G58" s="6" t="s">
        <v>437</v>
      </c>
      <c r="H58" s="1" t="s">
        <v>389</v>
      </c>
    </row>
    <row r="59" spans="1:8" ht="57">
      <c r="A59" t="s">
        <v>386</v>
      </c>
      <c r="B59" t="s">
        <v>453</v>
      </c>
      <c r="C59">
        <v>54</v>
      </c>
      <c r="D59" s="6" t="s">
        <v>438</v>
      </c>
      <c r="E59" s="6" t="s">
        <v>437</v>
      </c>
      <c r="F59" s="6" t="s">
        <v>437</v>
      </c>
      <c r="G59" s="6" t="s">
        <v>438</v>
      </c>
      <c r="H59" s="1" t="s">
        <v>388</v>
      </c>
    </row>
    <row r="60" spans="1:8" ht="42.75">
      <c r="A60" t="s">
        <v>331</v>
      </c>
      <c r="B60" t="s">
        <v>453</v>
      </c>
      <c r="C60">
        <v>26</v>
      </c>
      <c r="D60" s="6" t="s">
        <v>437</v>
      </c>
      <c r="E60" s="6" t="s">
        <v>438</v>
      </c>
      <c r="F60" s="6" t="s">
        <v>438</v>
      </c>
      <c r="G60" s="6" t="s">
        <v>437</v>
      </c>
      <c r="H60" s="1" t="s">
        <v>332</v>
      </c>
    </row>
    <row r="61" spans="1:8" ht="42.75">
      <c r="A61" t="s">
        <v>336</v>
      </c>
      <c r="B61" t="s">
        <v>450</v>
      </c>
      <c r="C61">
        <v>29</v>
      </c>
      <c r="D61" s="6" t="s">
        <v>437</v>
      </c>
      <c r="E61" s="6" t="s">
        <v>438</v>
      </c>
      <c r="F61" s="6" t="s">
        <v>438</v>
      </c>
      <c r="G61" s="6" t="s">
        <v>437</v>
      </c>
      <c r="H61" s="1" t="s">
        <v>339</v>
      </c>
    </row>
    <row r="62" spans="1:8" ht="57">
      <c r="A62" t="s">
        <v>351</v>
      </c>
      <c r="B62" t="s">
        <v>451</v>
      </c>
      <c r="C62">
        <v>36</v>
      </c>
      <c r="D62" s="6" t="s">
        <v>437</v>
      </c>
      <c r="E62" s="6" t="s">
        <v>438</v>
      </c>
      <c r="F62" s="6" t="s">
        <v>443</v>
      </c>
      <c r="G62" s="6" t="s">
        <v>437</v>
      </c>
      <c r="H62" s="1" t="s">
        <v>354</v>
      </c>
    </row>
    <row r="63" spans="1:8">
      <c r="A63" t="s">
        <v>383</v>
      </c>
      <c r="B63" t="s">
        <v>453</v>
      </c>
      <c r="C63">
        <v>53</v>
      </c>
      <c r="D63" s="6" t="s">
        <v>438</v>
      </c>
      <c r="E63" s="6" t="s">
        <v>437</v>
      </c>
      <c r="F63" s="6" t="s">
        <v>437</v>
      </c>
      <c r="G63" s="6" t="s">
        <v>438</v>
      </c>
      <c r="H63" s="1" t="s">
        <v>385</v>
      </c>
    </row>
    <row r="64" spans="1:8" ht="71.25">
      <c r="A64" t="s">
        <v>372</v>
      </c>
      <c r="B64" t="s">
        <v>453</v>
      </c>
      <c r="C64">
        <v>48</v>
      </c>
      <c r="D64" s="6" t="s">
        <v>438</v>
      </c>
      <c r="E64" s="6" t="s">
        <v>437</v>
      </c>
      <c r="F64" s="6" t="s">
        <v>437</v>
      </c>
      <c r="G64" s="6" t="s">
        <v>438</v>
      </c>
      <c r="H64" s="1" t="s">
        <v>376</v>
      </c>
    </row>
    <row r="65" spans="1:8" ht="85.5">
      <c r="A65" t="s">
        <v>378</v>
      </c>
      <c r="B65" t="s">
        <v>453</v>
      </c>
      <c r="C65">
        <v>50</v>
      </c>
      <c r="D65" s="6" t="s">
        <v>438</v>
      </c>
      <c r="E65" s="6" t="s">
        <v>437</v>
      </c>
      <c r="F65" s="6" t="s">
        <v>437</v>
      </c>
      <c r="G65" s="6" t="s">
        <v>438</v>
      </c>
      <c r="H65" s="1" t="s">
        <v>380</v>
      </c>
    </row>
    <row r="66" spans="1:8" ht="42.75">
      <c r="A66" t="s">
        <v>310</v>
      </c>
      <c r="B66" t="s">
        <v>452</v>
      </c>
      <c r="C66">
        <v>11</v>
      </c>
      <c r="D66" s="6" t="s">
        <v>438</v>
      </c>
      <c r="E66" s="6" t="s">
        <v>438</v>
      </c>
      <c r="F66" s="6" t="s">
        <v>438</v>
      </c>
      <c r="G66" s="6" t="s">
        <v>440</v>
      </c>
      <c r="H66" s="1" t="s">
        <v>324</v>
      </c>
    </row>
    <row r="67" spans="1:8">
      <c r="A67" t="s">
        <v>390</v>
      </c>
      <c r="B67" t="s">
        <v>451</v>
      </c>
      <c r="C67">
        <v>56</v>
      </c>
      <c r="D67" s="6" t="s">
        <v>438</v>
      </c>
      <c r="E67" s="6" t="s">
        <v>437</v>
      </c>
      <c r="F67" s="6" t="s">
        <v>437</v>
      </c>
      <c r="G67" s="6" t="s">
        <v>438</v>
      </c>
      <c r="H67" s="1" t="s">
        <v>392</v>
      </c>
    </row>
    <row r="68" spans="1:8">
      <c r="A68" t="s">
        <v>390</v>
      </c>
      <c r="B68" t="s">
        <v>451</v>
      </c>
      <c r="C68">
        <v>57</v>
      </c>
      <c r="D68" s="6" t="s">
        <v>438</v>
      </c>
      <c r="E68" s="6" t="s">
        <v>437</v>
      </c>
      <c r="F68" s="6" t="s">
        <v>437</v>
      </c>
      <c r="G68" s="6" t="s">
        <v>438</v>
      </c>
      <c r="H68" s="1" t="s">
        <v>392</v>
      </c>
    </row>
    <row r="69" spans="1:8" ht="42.75">
      <c r="A69" t="s">
        <v>396</v>
      </c>
      <c r="B69" t="s">
        <v>453</v>
      </c>
      <c r="C69">
        <v>64</v>
      </c>
      <c r="D69" s="6" t="s">
        <v>438</v>
      </c>
      <c r="E69" s="6" t="s">
        <v>437</v>
      </c>
      <c r="F69" s="6" t="s">
        <v>437</v>
      </c>
      <c r="G69" s="6" t="s">
        <v>438</v>
      </c>
      <c r="H69" s="1" t="s">
        <v>399</v>
      </c>
    </row>
    <row r="70" spans="1:8" ht="85.5">
      <c r="A70" t="s">
        <v>458</v>
      </c>
      <c r="B70" t="s">
        <v>452</v>
      </c>
      <c r="C70">
        <v>253</v>
      </c>
      <c r="D70" s="6" t="s">
        <v>437</v>
      </c>
      <c r="E70" s="6" t="s">
        <v>438</v>
      </c>
      <c r="F70" s="6" t="s">
        <v>440</v>
      </c>
      <c r="G70" s="6" t="s">
        <v>437</v>
      </c>
      <c r="H70" s="1" t="s">
        <v>429</v>
      </c>
    </row>
    <row r="71" spans="1:8" ht="228">
      <c r="A71" t="s">
        <v>304</v>
      </c>
      <c r="B71" t="s">
        <v>452</v>
      </c>
      <c r="C71">
        <v>1</v>
      </c>
      <c r="D71" s="6" t="s">
        <v>437</v>
      </c>
      <c r="E71" s="6" t="s">
        <v>438</v>
      </c>
      <c r="F71" s="6" t="s">
        <v>438</v>
      </c>
      <c r="G71" s="6" t="s">
        <v>437</v>
      </c>
      <c r="H71" s="1" t="s">
        <v>318</v>
      </c>
    </row>
    <row r="72" spans="1:8" ht="28.5">
      <c r="A72" t="s">
        <v>305</v>
      </c>
      <c r="B72" t="s">
        <v>452</v>
      </c>
      <c r="C72">
        <v>2</v>
      </c>
      <c r="D72" s="6" t="s">
        <v>438</v>
      </c>
      <c r="E72" s="6" t="s">
        <v>438</v>
      </c>
      <c r="F72" s="6" t="s">
        <v>438</v>
      </c>
      <c r="G72" s="6" t="s">
        <v>438</v>
      </c>
      <c r="H72" s="1" t="s">
        <v>319</v>
      </c>
    </row>
    <row r="73" spans="1:8">
      <c r="A73" t="s">
        <v>404</v>
      </c>
      <c r="B73" t="s">
        <v>452</v>
      </c>
      <c r="C73">
        <v>74</v>
      </c>
      <c r="D73" s="6" t="s">
        <v>437</v>
      </c>
      <c r="E73" s="6" t="s">
        <v>438</v>
      </c>
      <c r="F73" s="6" t="s">
        <v>440</v>
      </c>
      <c r="G73" s="6" t="s">
        <v>437</v>
      </c>
      <c r="H73" s="1" t="s">
        <v>407</v>
      </c>
    </row>
    <row r="74" spans="1:8">
      <c r="A74" t="s">
        <v>421</v>
      </c>
      <c r="B74" t="s">
        <v>450</v>
      </c>
      <c r="C74">
        <v>104</v>
      </c>
      <c r="D74" s="6" t="s">
        <v>437</v>
      </c>
      <c r="E74" s="6" t="s">
        <v>438</v>
      </c>
      <c r="F74" s="6" t="s">
        <v>438</v>
      </c>
      <c r="G74" s="6" t="s">
        <v>437</v>
      </c>
    </row>
    <row r="75" spans="1:8">
      <c r="A75" t="s">
        <v>419</v>
      </c>
      <c r="B75" t="s">
        <v>450</v>
      </c>
      <c r="C75">
        <v>102</v>
      </c>
      <c r="D75" s="6" t="s">
        <v>437</v>
      </c>
      <c r="E75" s="6" t="s">
        <v>438</v>
      </c>
      <c r="F75" s="6" t="s">
        <v>438</v>
      </c>
      <c r="G75" s="6" t="s">
        <v>437</v>
      </c>
    </row>
    <row r="76" spans="1:8">
      <c r="A76" t="s">
        <v>420</v>
      </c>
      <c r="B76" t="s">
        <v>450</v>
      </c>
      <c r="C76">
        <v>103</v>
      </c>
      <c r="D76" s="6" t="s">
        <v>437</v>
      </c>
      <c r="E76" s="6" t="s">
        <v>438</v>
      </c>
      <c r="F76" s="6" t="s">
        <v>438</v>
      </c>
      <c r="G76" s="6" t="s">
        <v>437</v>
      </c>
    </row>
    <row r="77" spans="1:8">
      <c r="A77" t="s">
        <v>459</v>
      </c>
      <c r="B77" t="s">
        <v>453</v>
      </c>
      <c r="D77" s="6" t="s">
        <v>437</v>
      </c>
      <c r="E77" s="6" t="s">
        <v>438</v>
      </c>
      <c r="F77" s="6" t="s">
        <v>440</v>
      </c>
      <c r="G77" s="6" t="s">
        <v>437</v>
      </c>
    </row>
    <row r="78" spans="1:8">
      <c r="A78" t="s">
        <v>460</v>
      </c>
      <c r="B78" t="s">
        <v>453</v>
      </c>
      <c r="D78" s="6" t="s">
        <v>443</v>
      </c>
      <c r="E78" s="6" t="s">
        <v>443</v>
      </c>
      <c r="F78" s="6" t="s">
        <v>443</v>
      </c>
      <c r="G78" s="6" t="s">
        <v>443</v>
      </c>
    </row>
  </sheetData>
  <autoFilter ref="A2:L77">
    <sortState ref="A3:H77">
      <sortCondition ref="A2:A77"/>
    </sortState>
  </autoFilter>
  <mergeCells count="2">
    <mergeCell ref="D1:E1"/>
    <mergeCell ref="F1:G1"/>
  </mergeCells>
  <conditionalFormatting sqref="D1:G1048576">
    <cfRule type="cellIs" dxfId="39" priority="1" stopIfTrue="1" operator="equal">
      <formula>"HOLD"</formula>
    </cfRule>
    <cfRule type="cellIs" dxfId="38" priority="2" stopIfTrue="1" operator="equal">
      <formula>"DONE"</formula>
    </cfRule>
    <cfRule type="cellIs" dxfId="37" priority="3" stopIfTrue="1" operator="equal">
      <formula>"AWM"</formula>
    </cfRule>
    <cfRule type="cellIs" dxfId="36" priority="4" stopIfTrue="1" operator="equal">
      <formula>"INW"</formula>
    </cfRule>
    <cfRule type="cellIs" dxfId="35" priority="6" stopIfTrue="1" operator="equal">
      <formula>"CNLD"</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Com Messages</vt:lpstr>
      <vt:lpstr>Status</vt:lpstr>
      <vt:lpstr>Data</vt:lpstr>
      <vt:lpstr>ICARUS Protocol_bad</vt:lpstr>
      <vt:lpstr>MAVLink Type Enumerations_bad</vt:lpstr>
      <vt:lpstr>MAVLink Messages_bad</vt:lpstr>
    </vt:vector>
  </TitlesOfParts>
  <Company>U.S. Air Force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1254484616C</dc:creator>
  <cp:lastModifiedBy>dgitz</cp:lastModifiedBy>
  <dcterms:created xsi:type="dcterms:W3CDTF">2012-04-11T18:35:56Z</dcterms:created>
  <dcterms:modified xsi:type="dcterms:W3CDTF">2014-01-22T02:48:59Z</dcterms:modified>
</cp:coreProperties>
</file>